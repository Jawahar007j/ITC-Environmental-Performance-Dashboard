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e794b1bb2f8fb5dc/Desktop/"/>
    </mc:Choice>
  </mc:AlternateContent>
  <xr:revisionPtr revIDLastSave="19" documentId="13_ncr:1_{1F4935F6-D542-4CDC-B84A-5C42D0D7F5FE}" xr6:coauthVersionLast="47" xr6:coauthVersionMax="47" xr10:uidLastSave="{EF1C2EC0-727A-47C5-9F17-6FC29A43480D}"/>
  <bookViews>
    <workbookView showHorizontalScroll="0" showVerticalScroll="0" showSheetTabs="0" xWindow="-108" yWindow="-108" windowWidth="23256" windowHeight="12456" tabRatio="500" xr2:uid="{00000000-000D-0000-FFFF-FFFF00000000}"/>
  </bookViews>
  <sheets>
    <sheet name="DASHBOARD" sheetId="1" r:id="rId1"/>
    <sheet name="Sheet2" sheetId="5" r:id="rId2"/>
    <sheet name="DASHBOARD_DATA" sheetId="2" r:id="rId3"/>
  </sheets>
  <definedNames>
    <definedName name="_xlnm.Print_Area" localSheetId="0">DASHBOARD!$A$1:$AC$47</definedName>
    <definedName name="Slicer_KPI_Category">#N/A</definedName>
    <definedName name="Slicer_Year">#N/A</definedName>
    <definedName name="Slicer_Year1">#N/A</definedName>
  </definedNames>
  <calcPr calcId="191029" iterateDelta="1E-4"/>
  <pivotCaches>
    <pivotCache cacheId="0" r:id="rId4"/>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loext="http://schemas.libreoffice.org/" uri="{7626C862-2A13-11E5-B345-FEFF819CDC9F}">
      <loext:extCalcPr stringRefSyntax="ExcelA1"/>
    </ext>
  </extLst>
</workbook>
</file>

<file path=xl/calcChain.xml><?xml version="1.0" encoding="utf-8"?>
<calcChain xmlns="http://schemas.openxmlformats.org/spreadsheetml/2006/main">
  <c r="C91" i="2" l="1"/>
  <c r="B9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G78" authorId="0" shapeId="0" xr:uid="{00000000-0006-0000-0100-000001000000}">
      <text>
        <r>
          <rPr>
            <sz val="10"/>
            <rFont val="Arial"/>
            <family val="2"/>
          </rPr>
          <t>Source: ITC BRSR FY2025-26, Report and Accounts 2026, Page 386. Footnote: 'Till FY2024-25, Plastic waste was reported under Non-hazardous waste. From FY2025-26 onwards, plastic waste generated in factories due to operations is being reported in the plastic waste field.' No restated FY2024-25 comparable figure disclosed.</t>
        </r>
      </text>
    </comment>
  </commentList>
</comments>
</file>

<file path=xl/sharedStrings.xml><?xml version="1.0" encoding="utf-8"?>
<sst xmlns="http://schemas.openxmlformats.org/spreadsheetml/2006/main" count="529" uniqueCount="103">
  <si>
    <t>KPI Category</t>
  </si>
  <si>
    <t>Sub Category</t>
  </si>
  <si>
    <t>KPI</t>
  </si>
  <si>
    <t>Unit</t>
  </si>
  <si>
    <t>Source Page</t>
  </si>
  <si>
    <t>Year</t>
  </si>
  <si>
    <t>Value</t>
  </si>
  <si>
    <t>Air Emissions</t>
  </si>
  <si>
    <t>HAP</t>
  </si>
  <si>
    <t>Hazardous Air Pollutants</t>
  </si>
  <si>
    <t>Tonnes</t>
  </si>
  <si>
    <t>FY2025-26</t>
  </si>
  <si>
    <t>Energy</t>
  </si>
  <si>
    <t>NOx</t>
  </si>
  <si>
    <t>NOx Emissions</t>
  </si>
  <si>
    <t>PM</t>
  </si>
  <si>
    <t>Particulate Matter</t>
  </si>
  <si>
    <t>Sum of Value</t>
  </si>
  <si>
    <t>SOx</t>
  </si>
  <si>
    <t>SOx Emissions</t>
  </si>
  <si>
    <t>FY2024-25</t>
  </si>
  <si>
    <t>Non-Renewable</t>
  </si>
  <si>
    <t>Non-Renewable Electricity</t>
  </si>
  <si>
    <t>TJ</t>
  </si>
  <si>
    <t>Non-Renewable Fuel</t>
  </si>
  <si>
    <t>Total Non-Renewable Energy</t>
  </si>
  <si>
    <t>Renewable Electricity Consumption</t>
  </si>
  <si>
    <t>Overall</t>
  </si>
  <si>
    <t>Total Energy Consumed</t>
  </si>
  <si>
    <t>Renewable Fuel Consumption</t>
  </si>
  <si>
    <t>Renewable</t>
  </si>
  <si>
    <t>Other Renewable Energy</t>
  </si>
  <si>
    <t>Total Renewable Energy</t>
  </si>
  <si>
    <t>ESG Ratings</t>
  </si>
  <si>
    <t>CDP Climate</t>
  </si>
  <si>
    <t>CDP Climate Rating</t>
  </si>
  <si>
    <t>Rating</t>
  </si>
  <si>
    <t>A-</t>
  </si>
  <si>
    <t>CDP Forest</t>
  </si>
  <si>
    <t>CDP Forest Rating</t>
  </si>
  <si>
    <t>A List</t>
  </si>
  <si>
    <t>CDP Water</t>
  </si>
  <si>
    <t>CDP Water Rating</t>
  </si>
  <si>
    <t>Dow Jones</t>
  </si>
  <si>
    <t>Dow Jones Best-in-Class Emerging Markets Index</t>
  </si>
  <si>
    <t>Status</t>
  </si>
  <si>
    <t>Included</t>
  </si>
  <si>
    <t>MSCI</t>
  </si>
  <si>
    <t>MSCI ESG Rating</t>
  </si>
  <si>
    <t>AA</t>
  </si>
  <si>
    <t>GHG</t>
  </si>
  <si>
    <t>Intensity</t>
  </si>
  <si>
    <t>GHG Intensity (FBD)</t>
  </si>
  <si>
    <t>tCO₂e/Tonne</t>
  </si>
  <si>
    <t>GHG Intensity (PPP)</t>
  </si>
  <si>
    <t>tCO₂e/Million USD</t>
  </si>
  <si>
    <t>GHG Intensity (PSPD)</t>
  </si>
  <si>
    <t>GHG Intensity per Revenue</t>
  </si>
  <si>
    <t>tCO₂e/Crore INR</t>
  </si>
  <si>
    <t>Scope 3 Emissions per Rupee of Turnover</t>
  </si>
  <si>
    <t>Scope 1</t>
  </si>
  <si>
    <t>Scope 1 Emissions</t>
  </si>
  <si>
    <t>kilo tonnes CO₂e</t>
  </si>
  <si>
    <t>Scope 2</t>
  </si>
  <si>
    <t>Scope 2 Emissions</t>
  </si>
  <si>
    <t>Packaging</t>
  </si>
  <si>
    <t>Circular Economy</t>
  </si>
  <si>
    <t>Recycled Plastic Used in Packaging</t>
  </si>
  <si>
    <t>Waste Paper Used</t>
  </si>
  <si>
    <t>Waste</t>
  </si>
  <si>
    <t>Generated</t>
  </si>
  <si>
    <t>Battery Waste</t>
  </si>
  <si>
    <t>kilo tonnes</t>
  </si>
  <si>
    <t>Bio-medical Waste</t>
  </si>
  <si>
    <t>Construction &amp; Demolition Waste</t>
  </si>
  <si>
    <t>E-waste</t>
  </si>
  <si>
    <t>Other Hazardous Waste</t>
  </si>
  <si>
    <t>Plastic Waste</t>
  </si>
  <si>
    <t>Radioactive Waste</t>
  </si>
  <si>
    <t>Water</t>
  </si>
  <si>
    <t>Consumption</t>
  </si>
  <si>
    <t>Total Water Consumption</t>
  </si>
  <si>
    <t>Million kL</t>
  </si>
  <si>
    <t>Water Intensity</t>
  </si>
  <si>
    <t>kL/Crore INR</t>
  </si>
  <si>
    <t>Withdrawal</t>
  </si>
  <si>
    <t>Total Water Withdrawal</t>
  </si>
  <si>
    <t>Scope 3</t>
  </si>
  <si>
    <t>Scope 3 Emissions</t>
  </si>
  <si>
    <t>Other Non-Hazardous Waste</t>
  </si>
  <si>
    <t>Recovered</t>
  </si>
  <si>
    <t>Waste Recycled</t>
  </si>
  <si>
    <t>NA</t>
  </si>
  <si>
    <t>Chart Helper: GHG Scope Split (kt CO2e)</t>
  </si>
  <si>
    <t>Scope</t>
  </si>
  <si>
    <t>Chart Helper: Waste Recovery (kt)</t>
  </si>
  <si>
    <t>Metric</t>
  </si>
  <si>
    <t>Total Waste Generated</t>
  </si>
  <si>
    <t>Waste Recycled %</t>
  </si>
  <si>
    <t>Row Labels</t>
  </si>
  <si>
    <t>Grand Total</t>
  </si>
  <si>
    <t>Column Labels</t>
  </si>
  <si>
    <r>
      <t xml:space="preserve">ITC Limited – Environmental Performance Dashboard (FY2024–25 vs FY2025–26)        </t>
    </r>
    <r>
      <rPr>
        <b/>
        <sz val="12"/>
        <color theme="0"/>
        <rFont val="Calibri"/>
        <family val="2"/>
      </rPr>
      <t>Dashboard as on  3.07.2026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</si>
</sst>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charset val="1"/>
    </font>
    <font>
      <b/>
      <sz val="11"/>
      <color theme="1"/>
      <name val="Calibri"/>
      <family val="2"/>
      <charset val="1"/>
    </font>
    <font>
      <b/>
      <sz val="24"/>
      <color theme="9" tint="-0.499984740745262"/>
      <name val="Calibri"/>
      <family val="2"/>
      <charset val="1"/>
    </font>
    <font>
      <b/>
      <sz val="20"/>
      <color theme="9" tint="-0.499984740745262"/>
      <name val="Calibri"/>
      <family val="2"/>
      <charset val="1"/>
    </font>
    <font>
      <b/>
      <sz val="11"/>
      <name val="Cambria"/>
      <charset val="1"/>
    </font>
    <font>
      <sz val="10"/>
      <name val="Arial"/>
      <family val="2"/>
    </font>
    <font>
      <sz val="11"/>
      <color theme="1"/>
      <name val="Calibri"/>
      <family val="2"/>
      <charset val="1"/>
    </font>
    <font>
      <b/>
      <sz val="24"/>
      <color theme="0"/>
      <name val="Calibri"/>
      <family val="2"/>
    </font>
    <font>
      <b/>
      <sz val="24"/>
      <name val="Calibri"/>
      <family val="2"/>
    </font>
    <font>
      <sz val="11"/>
      <name val="Calibri"/>
      <family val="2"/>
      <charset val="1"/>
    </font>
    <font>
      <b/>
      <sz val="20"/>
      <color theme="0"/>
      <name val="Calibri"/>
      <family val="2"/>
    </font>
    <font>
      <b/>
      <sz val="12"/>
      <color theme="0"/>
      <name val="Calibri"/>
      <family val="2"/>
    </font>
  </fonts>
  <fills count="4">
    <fill>
      <patternFill patternType="none"/>
    </fill>
    <fill>
      <patternFill patternType="gray125"/>
    </fill>
    <fill>
      <patternFill patternType="solid">
        <fgColor theme="0"/>
        <bgColor rgb="FFFFFFCC"/>
      </patternFill>
    </fill>
    <fill>
      <patternFill patternType="solid">
        <fgColor rgb="FF17270F"/>
        <bgColor rgb="FFFFFFCC"/>
      </patternFill>
    </fill>
  </fills>
  <borders count="19">
    <border>
      <left/>
      <right/>
      <top/>
      <bottom/>
      <diagonal/>
    </border>
    <border>
      <left style="thin">
        <color auto="1"/>
      </left>
      <right style="thin">
        <color auto="1"/>
      </right>
      <top style="thin">
        <color auto="1"/>
      </top>
      <bottom style="thin">
        <color auto="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7">
    <xf numFmtId="0" fontId="0" fillId="0" borderId="0"/>
    <xf numFmtId="0" fontId="6" fillId="0" borderId="0">
      <alignment horizontal="left"/>
    </xf>
    <xf numFmtId="0" fontId="6" fillId="0" borderId="0"/>
    <xf numFmtId="0" fontId="6" fillId="0" borderId="0"/>
    <xf numFmtId="0" fontId="1" fillId="0" borderId="0"/>
    <xf numFmtId="0" fontId="1" fillId="0" borderId="0">
      <alignment horizontal="left"/>
    </xf>
    <xf numFmtId="0" fontId="6" fillId="0" borderId="0"/>
  </cellStyleXfs>
  <cellXfs count="37">
    <xf numFmtId="0" fontId="0" fillId="0" borderId="0" xfId="0"/>
    <xf numFmtId="0" fontId="0" fillId="2" borderId="0" xfId="0" applyFill="1"/>
    <xf numFmtId="0" fontId="3" fillId="2" borderId="0" xfId="0" applyFont="1" applyFill="1" applyAlignment="1">
      <alignment horizontal="center"/>
    </xf>
    <xf numFmtId="0" fontId="0" fillId="0" borderId="1" xfId="0" applyBorder="1"/>
    <xf numFmtId="0" fontId="4" fillId="0" borderId="0" xfId="0" applyFont="1"/>
    <xf numFmtId="164" fontId="0" fillId="0" borderId="0" xfId="0" applyNumberFormat="1"/>
    <xf numFmtId="0" fontId="2" fillId="2" borderId="0" xfId="0" applyFont="1" applyFill="1" applyAlignment="1">
      <alignment vertical="center"/>
    </xf>
    <xf numFmtId="0" fontId="2" fillId="2" borderId="0" xfId="0" applyFont="1" applyFill="1" applyAlignment="1">
      <alignment horizontal="left" vertical="center"/>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pivotButton="1"/>
    <xf numFmtId="0" fontId="0" fillId="0" borderId="0" xfId="0" applyAlignment="1">
      <alignment horizontal="left"/>
    </xf>
    <xf numFmtId="0" fontId="0" fillId="2" borderId="0" xfId="0" applyFill="1" applyAlignment="1">
      <alignment horizontal="center" vertical="center"/>
    </xf>
    <xf numFmtId="0" fontId="7" fillId="3" borderId="17" xfId="0" applyFont="1" applyFill="1" applyBorder="1" applyAlignment="1">
      <alignment horizontal="center" vertical="center"/>
    </xf>
    <xf numFmtId="0" fontId="7" fillId="3" borderId="0" xfId="0" applyFont="1" applyFill="1" applyAlignment="1">
      <alignment horizontal="center" vertical="center"/>
    </xf>
    <xf numFmtId="0" fontId="7" fillId="0" borderId="0" xfId="0" applyFont="1" applyAlignment="1">
      <alignment horizontal="center" vertical="center"/>
    </xf>
    <xf numFmtId="0" fontId="8" fillId="0" borderId="0" xfId="0" applyFont="1" applyAlignment="1">
      <alignment horizontal="center" vertical="center"/>
    </xf>
    <xf numFmtId="0" fontId="9" fillId="2" borderId="0" xfId="0" applyFont="1" applyFill="1"/>
    <xf numFmtId="0" fontId="0" fillId="2" borderId="11" xfId="0" applyFill="1" applyBorder="1" applyAlignment="1">
      <alignment horizontal="center" vertical="center"/>
    </xf>
    <xf numFmtId="0" fontId="0" fillId="2" borderId="12" xfId="0" applyFill="1" applyBorder="1" applyAlignment="1">
      <alignment horizontal="center" vertical="center"/>
    </xf>
    <xf numFmtId="0" fontId="0" fillId="2" borderId="13" xfId="0" applyFill="1" applyBorder="1" applyAlignment="1">
      <alignment horizontal="center" vertical="center"/>
    </xf>
    <xf numFmtId="0" fontId="0" fillId="2" borderId="17" xfId="0" applyFill="1" applyBorder="1" applyAlignment="1">
      <alignment horizontal="center" vertical="center"/>
    </xf>
    <xf numFmtId="0" fontId="0" fillId="2" borderId="0" xfId="0" applyFill="1" applyAlignment="1">
      <alignment horizontal="center" vertical="center"/>
    </xf>
    <xf numFmtId="0" fontId="0" fillId="2" borderId="18" xfId="0" applyFill="1" applyBorder="1" applyAlignment="1">
      <alignment horizontal="center" vertical="center"/>
    </xf>
    <xf numFmtId="0" fontId="0" fillId="2" borderId="14" xfId="0" applyFill="1" applyBorder="1" applyAlignment="1">
      <alignment horizontal="center" vertical="center"/>
    </xf>
    <xf numFmtId="0" fontId="0" fillId="2" borderId="15" xfId="0" applyFill="1" applyBorder="1" applyAlignment="1">
      <alignment horizontal="center" vertical="center"/>
    </xf>
    <xf numFmtId="0" fontId="0" fillId="2" borderId="16" xfId="0" applyFill="1" applyBorder="1" applyAlignment="1">
      <alignment horizontal="center" vertical="center"/>
    </xf>
    <xf numFmtId="0" fontId="10" fillId="3" borderId="17" xfId="0" applyFont="1" applyFill="1" applyBorder="1" applyAlignment="1">
      <alignment horizontal="center" vertical="center"/>
    </xf>
    <xf numFmtId="0" fontId="7" fillId="3" borderId="0" xfId="0" applyFont="1" applyFill="1" applyAlignment="1">
      <alignment horizontal="center" vertical="center"/>
    </xf>
    <xf numFmtId="0" fontId="7" fillId="3" borderId="17" xfId="0" applyFont="1" applyFill="1" applyBorder="1" applyAlignment="1">
      <alignment horizontal="center" vertical="center"/>
    </xf>
  </cellXfs>
  <cellStyles count="7">
    <cellStyle name="Normal" xfId="0" builtinId="0"/>
    <cellStyle name="Pivot Table Category" xfId="1" xr:uid="{00000000-0005-0000-0000-000006000000}"/>
    <cellStyle name="Pivot Table Corner" xfId="2" xr:uid="{00000000-0005-0000-0000-000007000000}"/>
    <cellStyle name="Pivot Table Field" xfId="3" xr:uid="{00000000-0005-0000-0000-000008000000}"/>
    <cellStyle name="Pivot Table Result" xfId="4" xr:uid="{00000000-0005-0000-0000-000009000000}"/>
    <cellStyle name="Pivot Table Title" xfId="5" xr:uid="{00000000-0005-0000-0000-00000A000000}"/>
    <cellStyle name="Pivot Table Value" xfId="6" xr:uid="{00000000-0005-0000-0000-00000B00000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3B3B3"/>
      <rgbColor rgb="FF808080"/>
      <rgbColor rgb="FF5B9BD5"/>
      <rgbColor rgb="FF7030A0"/>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ED7D31"/>
      <rgbColor rgb="FF595959"/>
      <rgbColor rgb="FFA5A5A5"/>
      <rgbColor rgb="FF002060"/>
      <rgbColor rgb="FF00B050"/>
      <rgbColor rgb="FF003300"/>
      <rgbColor rgb="FF385623"/>
      <rgbColor rgb="FF993300"/>
      <rgbColor rgb="FF993366"/>
      <rgbColor rgb="FF333399"/>
      <rgbColor rgb="FF404040"/>
      <rgbColor rgb="00003366"/>
      <rgbColor rgb="00339966"/>
      <rgbColor rgb="00003300"/>
      <rgbColor rgb="00333300"/>
      <rgbColor rgb="00993300"/>
      <rgbColor rgb="00993366"/>
      <rgbColor rgb="00333399"/>
      <rgbColor rgb="00333333"/>
    </indexedColors>
    <mruColors>
      <color rgb="FF083213"/>
      <color rgb="FF7CEB99"/>
      <color rgb="FF273C10"/>
      <color rgb="FF001E00"/>
      <color rgb="FF142A15"/>
      <color rgb="FF003400"/>
      <color rgb="FF162109"/>
      <color rgb="FF15210D"/>
      <color rgb="FF17270F"/>
      <color rgb="FF29B95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[ITC_DASHBOARD_updated_3.xlsx]Sheet2!WASTE</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6FF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6920384951881E-2"/>
          <c:y val="0.13650335374744824"/>
          <c:w val="0.75358671588589543"/>
          <c:h val="0.53094385600491356"/>
        </c:manualLayout>
      </c:layout>
      <c:barChart>
        <c:barDir val="col"/>
        <c:grouping val="clustered"/>
        <c:varyColors val="0"/>
        <c:ser>
          <c:idx val="0"/>
          <c:order val="0"/>
          <c:tx>
            <c:strRef>
              <c:f>Sheet2!$B$55:$B$56</c:f>
              <c:strCache>
                <c:ptCount val="1"/>
                <c:pt idx="0">
                  <c:v>FY2024-25</c:v>
                </c:pt>
              </c:strCache>
            </c:strRef>
          </c:tx>
          <c:spPr>
            <a:solidFill>
              <a:srgbClr val="66FF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Sheet2!$A$57:$A$62</c:f>
              <c:strCache>
                <c:ptCount val="5"/>
                <c:pt idx="0">
                  <c:v>Battery Waste</c:v>
                </c:pt>
                <c:pt idx="1">
                  <c:v>Bio-medical Waste</c:v>
                </c:pt>
                <c:pt idx="2">
                  <c:v>Construction &amp; Demolition Waste</c:v>
                </c:pt>
                <c:pt idx="3">
                  <c:v>E-waste</c:v>
                </c:pt>
                <c:pt idx="4">
                  <c:v>Other Hazardous Waste</c:v>
                </c:pt>
              </c:strCache>
            </c:strRef>
          </c:cat>
          <c:val>
            <c:numRef>
              <c:f>Sheet2!$B$57:$B$62</c:f>
              <c:numCache>
                <c:formatCode>General</c:formatCode>
                <c:ptCount val="5"/>
                <c:pt idx="0">
                  <c:v>0.23</c:v>
                </c:pt>
                <c:pt idx="1">
                  <c:v>0.02</c:v>
                </c:pt>
                <c:pt idx="2">
                  <c:v>6.1</c:v>
                </c:pt>
                <c:pt idx="3">
                  <c:v>0.08</c:v>
                </c:pt>
                <c:pt idx="4">
                  <c:v>22.5</c:v>
                </c:pt>
              </c:numCache>
            </c:numRef>
          </c:val>
          <c:extLst>
            <c:ext xmlns:c16="http://schemas.microsoft.com/office/drawing/2014/chart" uri="{C3380CC4-5D6E-409C-BE32-E72D297353CC}">
              <c16:uniqueId val="{00000000-AE61-4E5E-AFE0-60009F02F2FB}"/>
            </c:ext>
          </c:extLst>
        </c:ser>
        <c:ser>
          <c:idx val="1"/>
          <c:order val="1"/>
          <c:tx>
            <c:strRef>
              <c:f>Sheet2!$C$55:$C$56</c:f>
              <c:strCache>
                <c:ptCount val="1"/>
                <c:pt idx="0">
                  <c:v>FY2025-26</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Sheet2!$A$57:$A$62</c:f>
              <c:strCache>
                <c:ptCount val="5"/>
                <c:pt idx="0">
                  <c:v>Battery Waste</c:v>
                </c:pt>
                <c:pt idx="1">
                  <c:v>Bio-medical Waste</c:v>
                </c:pt>
                <c:pt idx="2">
                  <c:v>Construction &amp; Demolition Waste</c:v>
                </c:pt>
                <c:pt idx="3">
                  <c:v>E-waste</c:v>
                </c:pt>
                <c:pt idx="4">
                  <c:v>Other Hazardous Waste</c:v>
                </c:pt>
              </c:strCache>
            </c:strRef>
          </c:cat>
          <c:val>
            <c:numRef>
              <c:f>Sheet2!$C$57:$C$62</c:f>
              <c:numCache>
                <c:formatCode>General</c:formatCode>
                <c:ptCount val="5"/>
                <c:pt idx="0">
                  <c:v>0.25</c:v>
                </c:pt>
                <c:pt idx="1">
                  <c:v>0.02</c:v>
                </c:pt>
                <c:pt idx="2">
                  <c:v>6.4</c:v>
                </c:pt>
                <c:pt idx="3">
                  <c:v>0.08</c:v>
                </c:pt>
                <c:pt idx="4">
                  <c:v>24.3</c:v>
                </c:pt>
              </c:numCache>
            </c:numRef>
          </c:val>
          <c:extLst>
            <c:ext xmlns:c16="http://schemas.microsoft.com/office/drawing/2014/chart" uri="{C3380CC4-5D6E-409C-BE32-E72D297353CC}">
              <c16:uniqueId val="{00000002-4DF2-43A8-9807-6ED9403B449E}"/>
            </c:ext>
          </c:extLst>
        </c:ser>
        <c:dLbls>
          <c:showLegendKey val="0"/>
          <c:showVal val="1"/>
          <c:showCatName val="0"/>
          <c:showSerName val="0"/>
          <c:showPercent val="0"/>
          <c:showBubbleSize val="0"/>
        </c:dLbls>
        <c:gapWidth val="78"/>
        <c:axId val="32439359"/>
        <c:axId val="32439839"/>
      </c:barChart>
      <c:catAx>
        <c:axId val="32439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74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39839"/>
        <c:crosses val="autoZero"/>
        <c:auto val="1"/>
        <c:lblAlgn val="ctr"/>
        <c:lblOffset val="100"/>
        <c:tickLblSkip val="1"/>
        <c:noMultiLvlLbl val="0"/>
      </c:catAx>
      <c:valAx>
        <c:axId val="32439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39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alpha val="9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[ITC_DASHBOARD_updated_3.xlsx]Sheet2!WATER</c:name>
    <c:fmtId val="9"/>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0619779272502"/>
          <c:y val="0.17630675157662035"/>
          <c:w val="0.7028236309442194"/>
          <c:h val="0.68672181561816037"/>
        </c:manualLayout>
      </c:layout>
      <c:barChart>
        <c:barDir val="bar"/>
        <c:grouping val="clustered"/>
        <c:varyColors val="0"/>
        <c:ser>
          <c:idx val="0"/>
          <c:order val="0"/>
          <c:tx>
            <c:strRef>
              <c:f>Sheet2!$B$72:$B$73</c:f>
              <c:strCache>
                <c:ptCount val="1"/>
                <c:pt idx="0">
                  <c:v>FY2024-25</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Sheet2!$A$74:$A$77</c:f>
              <c:strCache>
                <c:ptCount val="3"/>
                <c:pt idx="0">
                  <c:v>Total Water Consumption</c:v>
                </c:pt>
                <c:pt idx="1">
                  <c:v>Total Water Withdrawal</c:v>
                </c:pt>
                <c:pt idx="2">
                  <c:v>Water Intensity</c:v>
                </c:pt>
              </c:strCache>
            </c:strRef>
          </c:cat>
          <c:val>
            <c:numRef>
              <c:f>Sheet2!$B$74:$B$77</c:f>
              <c:numCache>
                <c:formatCode>General</c:formatCode>
                <c:ptCount val="3"/>
                <c:pt idx="0">
                  <c:v>10.5</c:v>
                </c:pt>
                <c:pt idx="1">
                  <c:v>31.2</c:v>
                </c:pt>
                <c:pt idx="2">
                  <c:v>142</c:v>
                </c:pt>
              </c:numCache>
            </c:numRef>
          </c:val>
          <c:extLst>
            <c:ext xmlns:c16="http://schemas.microsoft.com/office/drawing/2014/chart" uri="{C3380CC4-5D6E-409C-BE32-E72D297353CC}">
              <c16:uniqueId val="{00000000-1DF5-450E-8C52-E298FA097A4A}"/>
            </c:ext>
          </c:extLst>
        </c:ser>
        <c:ser>
          <c:idx val="1"/>
          <c:order val="1"/>
          <c:tx>
            <c:strRef>
              <c:f>Sheet2!$C$72:$C$73</c:f>
              <c:strCache>
                <c:ptCount val="1"/>
                <c:pt idx="0">
                  <c:v>FY2025-26</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Sheet2!$A$74:$A$77</c:f>
              <c:strCache>
                <c:ptCount val="3"/>
                <c:pt idx="0">
                  <c:v>Total Water Consumption</c:v>
                </c:pt>
                <c:pt idx="1">
                  <c:v>Total Water Withdrawal</c:v>
                </c:pt>
                <c:pt idx="2">
                  <c:v>Water Intensity</c:v>
                </c:pt>
              </c:strCache>
            </c:strRef>
          </c:cat>
          <c:val>
            <c:numRef>
              <c:f>Sheet2!$C$74:$C$77</c:f>
              <c:numCache>
                <c:formatCode>General</c:formatCode>
                <c:ptCount val="3"/>
                <c:pt idx="0">
                  <c:v>11</c:v>
                </c:pt>
                <c:pt idx="1">
                  <c:v>30.1</c:v>
                </c:pt>
                <c:pt idx="2">
                  <c:v>134</c:v>
                </c:pt>
              </c:numCache>
            </c:numRef>
          </c:val>
          <c:extLst>
            <c:ext xmlns:c16="http://schemas.microsoft.com/office/drawing/2014/chart" uri="{C3380CC4-5D6E-409C-BE32-E72D297353CC}">
              <c16:uniqueId val="{00000001-89E3-438C-8129-B396C75B76A6}"/>
            </c:ext>
          </c:extLst>
        </c:ser>
        <c:dLbls>
          <c:dLblPos val="outEnd"/>
          <c:showLegendKey val="0"/>
          <c:showVal val="1"/>
          <c:showCatName val="0"/>
          <c:showSerName val="0"/>
          <c:showPercent val="0"/>
          <c:showBubbleSize val="0"/>
        </c:dLbls>
        <c:gapWidth val="219"/>
        <c:axId val="1981199695"/>
        <c:axId val="1981216495"/>
      </c:barChart>
      <c:catAx>
        <c:axId val="1981199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216495"/>
        <c:crosses val="autoZero"/>
        <c:auto val="1"/>
        <c:lblAlgn val="ctr"/>
        <c:lblOffset val="100"/>
        <c:noMultiLvlLbl val="0"/>
      </c:catAx>
      <c:valAx>
        <c:axId val="19812164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199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[ITC_DASHBOARD_updated_3.xlsx]Sheet2!SCOPE 123 , 24-25</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s>
    <c:plotArea>
      <c:layout/>
      <c:doughnutChart>
        <c:varyColors val="1"/>
        <c:ser>
          <c:idx val="0"/>
          <c:order val="0"/>
          <c:tx>
            <c:strRef>
              <c:f>Sheet2!$B$89:$B$90</c:f>
              <c:strCache>
                <c:ptCount val="1"/>
                <c:pt idx="0">
                  <c:v>FY2024-25</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82D1-4072-BF17-89E1DB8EC6B6}"/>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82D1-4072-BF17-89E1DB8EC6B6}"/>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82D1-4072-BF17-89E1DB8EC6B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Sheet2!$A$91:$A$94</c:f>
              <c:strCache>
                <c:ptCount val="3"/>
                <c:pt idx="0">
                  <c:v>Scope 1 Emissions</c:v>
                </c:pt>
                <c:pt idx="1">
                  <c:v>Scope 2 Emissions</c:v>
                </c:pt>
                <c:pt idx="2">
                  <c:v>Scope 3 Emissions</c:v>
                </c:pt>
              </c:strCache>
            </c:strRef>
          </c:cat>
          <c:val>
            <c:numRef>
              <c:f>Sheet2!$B$91:$B$94</c:f>
              <c:numCache>
                <c:formatCode>General</c:formatCode>
                <c:ptCount val="3"/>
                <c:pt idx="0">
                  <c:v>1101</c:v>
                </c:pt>
                <c:pt idx="1">
                  <c:v>153</c:v>
                </c:pt>
                <c:pt idx="2">
                  <c:v>1062</c:v>
                </c:pt>
              </c:numCache>
            </c:numRef>
          </c:val>
          <c:extLst>
            <c:ext xmlns:c16="http://schemas.microsoft.com/office/drawing/2014/chart" uri="{C3380CC4-5D6E-409C-BE32-E72D297353CC}">
              <c16:uniqueId val="{00000006-82D1-4072-BF17-89E1DB8EC6B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[ITC_DASHBOARD_updated_3.xlsx]Sheet2!SCOPE 123, 25-26</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s>
    <c:plotArea>
      <c:layout/>
      <c:doughnutChart>
        <c:varyColors val="1"/>
        <c:ser>
          <c:idx val="0"/>
          <c:order val="0"/>
          <c:tx>
            <c:strRef>
              <c:f>Sheet2!$N$89:$N$90</c:f>
              <c:strCache>
                <c:ptCount val="1"/>
                <c:pt idx="0">
                  <c:v>FY2025-26</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12E8-4E76-AE29-8FE95F4D7E70}"/>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12E8-4E76-AE29-8FE95F4D7E70}"/>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12E8-4E76-AE29-8FE95F4D7E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Sheet2!$M$91:$M$94</c:f>
              <c:strCache>
                <c:ptCount val="3"/>
                <c:pt idx="0">
                  <c:v>Scope 1 Emissions</c:v>
                </c:pt>
                <c:pt idx="1">
                  <c:v>Scope 2 Emissions</c:v>
                </c:pt>
                <c:pt idx="2">
                  <c:v>Scope 3 Emissions</c:v>
                </c:pt>
              </c:strCache>
            </c:strRef>
          </c:cat>
          <c:val>
            <c:numRef>
              <c:f>Sheet2!$N$91:$N$94</c:f>
              <c:numCache>
                <c:formatCode>General</c:formatCode>
                <c:ptCount val="3"/>
                <c:pt idx="0">
                  <c:v>1045</c:v>
                </c:pt>
                <c:pt idx="1">
                  <c:v>151</c:v>
                </c:pt>
                <c:pt idx="2">
                  <c:v>1442</c:v>
                </c:pt>
              </c:numCache>
            </c:numRef>
          </c:val>
          <c:extLst>
            <c:ext xmlns:c16="http://schemas.microsoft.com/office/drawing/2014/chart" uri="{C3380CC4-5D6E-409C-BE32-E72D297353CC}">
              <c16:uniqueId val="{00000006-12E8-4E76-AE29-8FE95F4D7E7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[ITC_DASHBOARD_updated_3.xlsx]Sheet2!AIR EMISSION</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78253655622099"/>
          <c:y val="0.22685177863459541"/>
          <c:w val="0.68906435389580478"/>
          <c:h val="0.61489209682123069"/>
        </c:manualLayout>
      </c:layout>
      <c:barChart>
        <c:barDir val="bar"/>
        <c:grouping val="clustered"/>
        <c:varyColors val="0"/>
        <c:ser>
          <c:idx val="0"/>
          <c:order val="0"/>
          <c:tx>
            <c:strRef>
              <c:f>Sheet2!$B$3:$B$4</c:f>
              <c:strCache>
                <c:ptCount val="1"/>
                <c:pt idx="0">
                  <c:v>FY2024-25</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Sheet2!$A$5:$A$9</c:f>
              <c:strCache>
                <c:ptCount val="4"/>
                <c:pt idx="0">
                  <c:v>Hazardous Air Pollutants</c:v>
                </c:pt>
                <c:pt idx="1">
                  <c:v>NOx Emissions</c:v>
                </c:pt>
                <c:pt idx="2">
                  <c:v>Particulate Matter</c:v>
                </c:pt>
                <c:pt idx="3">
                  <c:v>SOx Emissions</c:v>
                </c:pt>
              </c:strCache>
            </c:strRef>
          </c:cat>
          <c:val>
            <c:numRef>
              <c:f>Sheet2!$B$5:$B$9</c:f>
              <c:numCache>
                <c:formatCode>General</c:formatCode>
                <c:ptCount val="4"/>
                <c:pt idx="0">
                  <c:v>7.8</c:v>
                </c:pt>
                <c:pt idx="1">
                  <c:v>2064</c:v>
                </c:pt>
                <c:pt idx="2">
                  <c:v>553</c:v>
                </c:pt>
                <c:pt idx="3">
                  <c:v>2287</c:v>
                </c:pt>
              </c:numCache>
            </c:numRef>
          </c:val>
          <c:extLst>
            <c:ext xmlns:c16="http://schemas.microsoft.com/office/drawing/2014/chart" uri="{C3380CC4-5D6E-409C-BE32-E72D297353CC}">
              <c16:uniqueId val="{00000000-6D59-4323-835A-5394D4B4314F}"/>
            </c:ext>
          </c:extLst>
        </c:ser>
        <c:ser>
          <c:idx val="1"/>
          <c:order val="1"/>
          <c:tx>
            <c:strRef>
              <c:f>Sheet2!$C$3:$C$4</c:f>
              <c:strCache>
                <c:ptCount val="1"/>
                <c:pt idx="0">
                  <c:v>FY2025-26</c:v>
                </c:pt>
              </c:strCache>
            </c:strRef>
          </c:tx>
          <c:spPr>
            <a:solidFill>
              <a:srgbClr val="C00000"/>
            </a:solidFill>
            <a:ln>
              <a:noFill/>
            </a:ln>
            <a:effectLst/>
          </c:spPr>
          <c:invertIfNegative val="0"/>
          <c:cat>
            <c:strRef>
              <c:f>Sheet2!$A$5:$A$9</c:f>
              <c:strCache>
                <c:ptCount val="4"/>
                <c:pt idx="0">
                  <c:v>Hazardous Air Pollutants</c:v>
                </c:pt>
                <c:pt idx="1">
                  <c:v>NOx Emissions</c:v>
                </c:pt>
                <c:pt idx="2">
                  <c:v>Particulate Matter</c:v>
                </c:pt>
                <c:pt idx="3">
                  <c:v>SOx Emissions</c:v>
                </c:pt>
              </c:strCache>
            </c:strRef>
          </c:cat>
          <c:val>
            <c:numRef>
              <c:f>Sheet2!$C$5:$C$9</c:f>
              <c:numCache>
                <c:formatCode>General</c:formatCode>
                <c:ptCount val="4"/>
                <c:pt idx="0">
                  <c:v>6.9</c:v>
                </c:pt>
                <c:pt idx="1">
                  <c:v>2006</c:v>
                </c:pt>
                <c:pt idx="2">
                  <c:v>594</c:v>
                </c:pt>
                <c:pt idx="3">
                  <c:v>1700</c:v>
                </c:pt>
              </c:numCache>
            </c:numRef>
          </c:val>
          <c:extLst>
            <c:ext xmlns:c16="http://schemas.microsoft.com/office/drawing/2014/chart" uri="{C3380CC4-5D6E-409C-BE32-E72D297353CC}">
              <c16:uniqueId val="{00000001-925F-48F6-887B-3E1CA29BFEF0}"/>
            </c:ext>
          </c:extLst>
        </c:ser>
        <c:dLbls>
          <c:showLegendKey val="0"/>
          <c:showVal val="0"/>
          <c:showCatName val="0"/>
          <c:showSerName val="0"/>
          <c:showPercent val="0"/>
          <c:showBubbleSize val="0"/>
        </c:dLbls>
        <c:gapWidth val="219"/>
        <c:axId val="32407679"/>
        <c:axId val="32408159"/>
      </c:barChart>
      <c:catAx>
        <c:axId val="32407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08159"/>
        <c:crosses val="autoZero"/>
        <c:auto val="1"/>
        <c:lblAlgn val="ctr"/>
        <c:lblOffset val="100"/>
        <c:noMultiLvlLbl val="0"/>
      </c:catAx>
      <c:valAx>
        <c:axId val="324081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07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[ITC_DASHBOARD_updated_3.xlsx]Sheet2!ENERGY</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9B9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13648293963254"/>
          <c:y val="0.20833333333333334"/>
          <c:w val="0.66619225721784781"/>
          <c:h val="0.63341061533974918"/>
        </c:manualLayout>
      </c:layout>
      <c:barChart>
        <c:barDir val="col"/>
        <c:grouping val="clustered"/>
        <c:varyColors val="0"/>
        <c:ser>
          <c:idx val="0"/>
          <c:order val="0"/>
          <c:tx>
            <c:strRef>
              <c:f>Sheet2!$B$20:$B$21</c:f>
              <c:strCache>
                <c:ptCount val="1"/>
                <c:pt idx="0">
                  <c:v>FY2024-25</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Sheet2!$A$22:$A$25</c:f>
              <c:strCache>
                <c:ptCount val="3"/>
                <c:pt idx="0">
                  <c:v>Total Energy Consumed</c:v>
                </c:pt>
                <c:pt idx="1">
                  <c:v>Total Non-Renewable Energy</c:v>
                </c:pt>
                <c:pt idx="2">
                  <c:v>Total Renewable Energy</c:v>
                </c:pt>
              </c:strCache>
            </c:strRef>
          </c:cat>
          <c:val>
            <c:numRef>
              <c:f>Sheet2!$B$22:$B$25</c:f>
              <c:numCache>
                <c:formatCode>General</c:formatCode>
                <c:ptCount val="3"/>
                <c:pt idx="0">
                  <c:v>25791</c:v>
                </c:pt>
                <c:pt idx="1">
                  <c:v>12357</c:v>
                </c:pt>
                <c:pt idx="2">
                  <c:v>13434</c:v>
                </c:pt>
              </c:numCache>
            </c:numRef>
          </c:val>
          <c:extLst>
            <c:ext xmlns:c16="http://schemas.microsoft.com/office/drawing/2014/chart" uri="{C3380CC4-5D6E-409C-BE32-E72D297353CC}">
              <c16:uniqueId val="{00000000-F699-4DDA-8141-0BA65872B153}"/>
            </c:ext>
          </c:extLst>
        </c:ser>
        <c:ser>
          <c:idx val="1"/>
          <c:order val="1"/>
          <c:tx>
            <c:strRef>
              <c:f>Sheet2!$C$20:$C$21</c:f>
              <c:strCache>
                <c:ptCount val="1"/>
                <c:pt idx="0">
                  <c:v>FY2025-26</c:v>
                </c:pt>
              </c:strCache>
            </c:strRef>
          </c:tx>
          <c:spPr>
            <a:solidFill>
              <a:srgbClr val="29B95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Sheet2!$A$22:$A$25</c:f>
              <c:strCache>
                <c:ptCount val="3"/>
                <c:pt idx="0">
                  <c:v>Total Energy Consumed</c:v>
                </c:pt>
                <c:pt idx="1">
                  <c:v>Total Non-Renewable Energy</c:v>
                </c:pt>
                <c:pt idx="2">
                  <c:v>Total Renewable Energy</c:v>
                </c:pt>
              </c:strCache>
            </c:strRef>
          </c:cat>
          <c:val>
            <c:numRef>
              <c:f>Sheet2!$C$22:$C$25</c:f>
              <c:numCache>
                <c:formatCode>General</c:formatCode>
                <c:ptCount val="3"/>
                <c:pt idx="0">
                  <c:v>24025</c:v>
                </c:pt>
                <c:pt idx="1">
                  <c:v>11691</c:v>
                </c:pt>
                <c:pt idx="2">
                  <c:v>12334</c:v>
                </c:pt>
              </c:numCache>
            </c:numRef>
          </c:val>
          <c:extLst>
            <c:ext xmlns:c16="http://schemas.microsoft.com/office/drawing/2014/chart" uri="{C3380CC4-5D6E-409C-BE32-E72D297353CC}">
              <c16:uniqueId val="{00000001-EB8B-419F-AC03-493B67A286CD}"/>
            </c:ext>
          </c:extLst>
        </c:ser>
        <c:dLbls>
          <c:dLblPos val="outEnd"/>
          <c:showLegendKey val="0"/>
          <c:showVal val="1"/>
          <c:showCatName val="0"/>
          <c:showSerName val="0"/>
          <c:showPercent val="0"/>
          <c:showBubbleSize val="0"/>
        </c:dLbls>
        <c:gapWidth val="219"/>
        <c:overlap val="-27"/>
        <c:axId val="32414399"/>
        <c:axId val="32429759"/>
      </c:barChart>
      <c:catAx>
        <c:axId val="32414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29759"/>
        <c:crosses val="autoZero"/>
        <c:auto val="1"/>
        <c:lblAlgn val="ctr"/>
        <c:lblOffset val="100"/>
        <c:noMultiLvlLbl val="0"/>
      </c:catAx>
      <c:valAx>
        <c:axId val="32429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14399"/>
        <c:crosses val="autoZero"/>
        <c:crossBetween val="between"/>
      </c:valAx>
      <c:spPr>
        <a:noFill/>
        <a:ln>
          <a:solidFill>
            <a:schemeClr val="tx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[ITC_DASHBOARD_updated_3.xlsx]Sheet2!GHG</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94674699018851"/>
          <c:y val="0.17592595521282853"/>
          <c:w val="0.70974781277340337"/>
          <c:h val="0.66581802274715651"/>
        </c:manualLayout>
      </c:layout>
      <c:barChart>
        <c:barDir val="bar"/>
        <c:grouping val="clustered"/>
        <c:varyColors val="0"/>
        <c:ser>
          <c:idx val="0"/>
          <c:order val="0"/>
          <c:tx>
            <c:strRef>
              <c:f>Sheet2!$B$37:$B$38</c:f>
              <c:strCache>
                <c:ptCount val="1"/>
                <c:pt idx="0">
                  <c:v>FY2024-25</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Sheet2!$A$39:$A$43</c:f>
              <c:strCache>
                <c:ptCount val="4"/>
                <c:pt idx="0">
                  <c:v>GHG Intensity (FBD)</c:v>
                </c:pt>
                <c:pt idx="1">
                  <c:v>GHG Intensity (PPP)</c:v>
                </c:pt>
                <c:pt idx="2">
                  <c:v>GHG Intensity (PSPD)</c:v>
                </c:pt>
                <c:pt idx="3">
                  <c:v>GHG Intensity per Revenue</c:v>
                </c:pt>
              </c:strCache>
            </c:strRef>
          </c:cat>
          <c:val>
            <c:numRef>
              <c:f>Sheet2!$B$39:$B$43</c:f>
              <c:numCache>
                <c:formatCode>General</c:formatCode>
                <c:ptCount val="4"/>
                <c:pt idx="0">
                  <c:v>0.18</c:v>
                </c:pt>
                <c:pt idx="1">
                  <c:v>34.9</c:v>
                </c:pt>
                <c:pt idx="2">
                  <c:v>1.06</c:v>
                </c:pt>
                <c:pt idx="3">
                  <c:v>16.899999999999999</c:v>
                </c:pt>
              </c:numCache>
            </c:numRef>
          </c:val>
          <c:extLst>
            <c:ext xmlns:c16="http://schemas.microsoft.com/office/drawing/2014/chart" uri="{C3380CC4-5D6E-409C-BE32-E72D297353CC}">
              <c16:uniqueId val="{00000000-A011-4CA6-9B9A-0DEF6ACE6145}"/>
            </c:ext>
          </c:extLst>
        </c:ser>
        <c:ser>
          <c:idx val="1"/>
          <c:order val="1"/>
          <c:tx>
            <c:strRef>
              <c:f>Sheet2!$C$37:$C$38</c:f>
              <c:strCache>
                <c:ptCount val="1"/>
                <c:pt idx="0">
                  <c:v>FY2025-26</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Sheet2!$A$39:$A$43</c:f>
              <c:strCache>
                <c:ptCount val="4"/>
                <c:pt idx="0">
                  <c:v>GHG Intensity (FBD)</c:v>
                </c:pt>
                <c:pt idx="1">
                  <c:v>GHG Intensity (PPP)</c:v>
                </c:pt>
                <c:pt idx="2">
                  <c:v>GHG Intensity (PSPD)</c:v>
                </c:pt>
                <c:pt idx="3">
                  <c:v>GHG Intensity per Revenue</c:v>
                </c:pt>
              </c:strCache>
            </c:strRef>
          </c:cat>
          <c:val>
            <c:numRef>
              <c:f>Sheet2!$C$39:$C$43</c:f>
              <c:numCache>
                <c:formatCode>General</c:formatCode>
                <c:ptCount val="4"/>
                <c:pt idx="0">
                  <c:v>0.16</c:v>
                </c:pt>
                <c:pt idx="1">
                  <c:v>29.8</c:v>
                </c:pt>
                <c:pt idx="2">
                  <c:v>1.01</c:v>
                </c:pt>
                <c:pt idx="3">
                  <c:v>14.6</c:v>
                </c:pt>
              </c:numCache>
            </c:numRef>
          </c:val>
          <c:extLst>
            <c:ext xmlns:c16="http://schemas.microsoft.com/office/drawing/2014/chart" uri="{C3380CC4-5D6E-409C-BE32-E72D297353CC}">
              <c16:uniqueId val="{00000001-46AA-423F-A803-4A08F2015012}"/>
            </c:ext>
          </c:extLst>
        </c:ser>
        <c:dLbls>
          <c:dLblPos val="outEnd"/>
          <c:showLegendKey val="0"/>
          <c:showVal val="1"/>
          <c:showCatName val="0"/>
          <c:showSerName val="0"/>
          <c:showPercent val="0"/>
          <c:showBubbleSize val="0"/>
        </c:dLbls>
        <c:gapWidth val="219"/>
        <c:axId val="32432639"/>
        <c:axId val="32433119"/>
      </c:barChart>
      <c:catAx>
        <c:axId val="32432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33119"/>
        <c:crosses val="autoZero"/>
        <c:auto val="1"/>
        <c:lblAlgn val="ctr"/>
        <c:lblOffset val="100"/>
        <c:noMultiLvlLbl val="0"/>
      </c:catAx>
      <c:valAx>
        <c:axId val="32433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32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[ITC_DASHBOARD_updated_3.xlsx]Sheet2!AIR EMISSION</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FY2024-25</c:v>
                </c:pt>
              </c:strCache>
            </c:strRef>
          </c:tx>
          <c:spPr>
            <a:solidFill>
              <a:schemeClr val="accent1"/>
            </a:solidFill>
            <a:ln>
              <a:noFill/>
            </a:ln>
            <a:effectLst/>
          </c:spPr>
          <c:invertIfNegative val="0"/>
          <c:cat>
            <c:strRef>
              <c:f>Sheet2!$A$5:$A$9</c:f>
              <c:strCache>
                <c:ptCount val="4"/>
                <c:pt idx="0">
                  <c:v>Hazardous Air Pollutants</c:v>
                </c:pt>
                <c:pt idx="1">
                  <c:v>NOx Emissions</c:v>
                </c:pt>
                <c:pt idx="2">
                  <c:v>Particulate Matter</c:v>
                </c:pt>
                <c:pt idx="3">
                  <c:v>SOx Emissions</c:v>
                </c:pt>
              </c:strCache>
            </c:strRef>
          </c:cat>
          <c:val>
            <c:numRef>
              <c:f>Sheet2!$B$5:$B$9</c:f>
              <c:numCache>
                <c:formatCode>General</c:formatCode>
                <c:ptCount val="4"/>
                <c:pt idx="0">
                  <c:v>7.8</c:v>
                </c:pt>
                <c:pt idx="1">
                  <c:v>2064</c:v>
                </c:pt>
                <c:pt idx="2">
                  <c:v>553</c:v>
                </c:pt>
                <c:pt idx="3">
                  <c:v>2287</c:v>
                </c:pt>
              </c:numCache>
            </c:numRef>
          </c:val>
          <c:extLst>
            <c:ext xmlns:c16="http://schemas.microsoft.com/office/drawing/2014/chart" uri="{C3380CC4-5D6E-409C-BE32-E72D297353CC}">
              <c16:uniqueId val="{00000000-0821-4B68-9856-04240E8B24E4}"/>
            </c:ext>
          </c:extLst>
        </c:ser>
        <c:ser>
          <c:idx val="1"/>
          <c:order val="1"/>
          <c:tx>
            <c:strRef>
              <c:f>Sheet2!$C$3:$C$4</c:f>
              <c:strCache>
                <c:ptCount val="1"/>
                <c:pt idx="0">
                  <c:v>FY2025-26</c:v>
                </c:pt>
              </c:strCache>
            </c:strRef>
          </c:tx>
          <c:spPr>
            <a:solidFill>
              <a:schemeClr val="accent2"/>
            </a:solidFill>
            <a:ln>
              <a:noFill/>
            </a:ln>
            <a:effectLst/>
          </c:spPr>
          <c:invertIfNegative val="0"/>
          <c:cat>
            <c:strRef>
              <c:f>Sheet2!$A$5:$A$9</c:f>
              <c:strCache>
                <c:ptCount val="4"/>
                <c:pt idx="0">
                  <c:v>Hazardous Air Pollutants</c:v>
                </c:pt>
                <c:pt idx="1">
                  <c:v>NOx Emissions</c:v>
                </c:pt>
                <c:pt idx="2">
                  <c:v>Particulate Matter</c:v>
                </c:pt>
                <c:pt idx="3">
                  <c:v>SOx Emissions</c:v>
                </c:pt>
              </c:strCache>
            </c:strRef>
          </c:cat>
          <c:val>
            <c:numRef>
              <c:f>Sheet2!$C$5:$C$9</c:f>
              <c:numCache>
                <c:formatCode>General</c:formatCode>
                <c:ptCount val="4"/>
                <c:pt idx="0">
                  <c:v>6.9</c:v>
                </c:pt>
                <c:pt idx="1">
                  <c:v>2006</c:v>
                </c:pt>
                <c:pt idx="2">
                  <c:v>594</c:v>
                </c:pt>
                <c:pt idx="3">
                  <c:v>1700</c:v>
                </c:pt>
              </c:numCache>
            </c:numRef>
          </c:val>
          <c:extLst>
            <c:ext xmlns:c16="http://schemas.microsoft.com/office/drawing/2014/chart" uri="{C3380CC4-5D6E-409C-BE32-E72D297353CC}">
              <c16:uniqueId val="{00000000-D33A-40F8-AAD7-DA21B27524FE}"/>
            </c:ext>
          </c:extLst>
        </c:ser>
        <c:dLbls>
          <c:showLegendKey val="0"/>
          <c:showVal val="0"/>
          <c:showCatName val="0"/>
          <c:showSerName val="0"/>
          <c:showPercent val="0"/>
          <c:showBubbleSize val="0"/>
        </c:dLbls>
        <c:gapWidth val="219"/>
        <c:overlap val="-27"/>
        <c:axId val="32407679"/>
        <c:axId val="32408159"/>
      </c:barChart>
      <c:catAx>
        <c:axId val="32407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08159"/>
        <c:crosses val="autoZero"/>
        <c:auto val="1"/>
        <c:lblAlgn val="ctr"/>
        <c:lblOffset val="100"/>
        <c:noMultiLvlLbl val="0"/>
      </c:catAx>
      <c:valAx>
        <c:axId val="32408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07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[ITC_DASHBOARD_updated_3.xlsx]Sheet2!ENERGY</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Sheet2!$B$20:$B$21</c:f>
              <c:strCache>
                <c:ptCount val="1"/>
                <c:pt idx="0">
                  <c:v>FY2024-25</c:v>
                </c:pt>
              </c:strCache>
            </c:strRef>
          </c:tx>
          <c:spPr>
            <a:solidFill>
              <a:schemeClr val="accent1"/>
            </a:solidFill>
            <a:ln>
              <a:noFill/>
            </a:ln>
            <a:effectLst/>
          </c:spPr>
          <c:invertIfNegative val="0"/>
          <c:cat>
            <c:strRef>
              <c:f>Sheet2!$A$22:$A$25</c:f>
              <c:strCache>
                <c:ptCount val="3"/>
                <c:pt idx="0">
                  <c:v>Total Energy Consumed</c:v>
                </c:pt>
                <c:pt idx="1">
                  <c:v>Total Non-Renewable Energy</c:v>
                </c:pt>
                <c:pt idx="2">
                  <c:v>Total Renewable Energy</c:v>
                </c:pt>
              </c:strCache>
            </c:strRef>
          </c:cat>
          <c:val>
            <c:numRef>
              <c:f>Sheet2!$B$22:$B$25</c:f>
              <c:numCache>
                <c:formatCode>General</c:formatCode>
                <c:ptCount val="3"/>
                <c:pt idx="0">
                  <c:v>25791</c:v>
                </c:pt>
                <c:pt idx="1">
                  <c:v>12357</c:v>
                </c:pt>
                <c:pt idx="2">
                  <c:v>13434</c:v>
                </c:pt>
              </c:numCache>
            </c:numRef>
          </c:val>
          <c:extLst>
            <c:ext xmlns:c16="http://schemas.microsoft.com/office/drawing/2014/chart" uri="{C3380CC4-5D6E-409C-BE32-E72D297353CC}">
              <c16:uniqueId val="{00000000-DC9E-4C57-9610-5D5A2B4DAAFE}"/>
            </c:ext>
          </c:extLst>
        </c:ser>
        <c:ser>
          <c:idx val="1"/>
          <c:order val="1"/>
          <c:tx>
            <c:strRef>
              <c:f>Sheet2!$C$20:$C$21</c:f>
              <c:strCache>
                <c:ptCount val="1"/>
                <c:pt idx="0">
                  <c:v>FY2025-26</c:v>
                </c:pt>
              </c:strCache>
            </c:strRef>
          </c:tx>
          <c:spPr>
            <a:solidFill>
              <a:schemeClr val="accent2"/>
            </a:solidFill>
            <a:ln>
              <a:noFill/>
            </a:ln>
            <a:effectLst/>
          </c:spPr>
          <c:invertIfNegative val="0"/>
          <c:cat>
            <c:strRef>
              <c:f>Sheet2!$A$22:$A$25</c:f>
              <c:strCache>
                <c:ptCount val="3"/>
                <c:pt idx="0">
                  <c:v>Total Energy Consumed</c:v>
                </c:pt>
                <c:pt idx="1">
                  <c:v>Total Non-Renewable Energy</c:v>
                </c:pt>
                <c:pt idx="2">
                  <c:v>Total Renewable Energy</c:v>
                </c:pt>
              </c:strCache>
            </c:strRef>
          </c:cat>
          <c:val>
            <c:numRef>
              <c:f>Sheet2!$C$22:$C$25</c:f>
              <c:numCache>
                <c:formatCode>General</c:formatCode>
                <c:ptCount val="3"/>
                <c:pt idx="0">
                  <c:v>24025</c:v>
                </c:pt>
                <c:pt idx="1">
                  <c:v>11691</c:v>
                </c:pt>
                <c:pt idx="2">
                  <c:v>12334</c:v>
                </c:pt>
              </c:numCache>
            </c:numRef>
          </c:val>
          <c:extLst>
            <c:ext xmlns:c16="http://schemas.microsoft.com/office/drawing/2014/chart" uri="{C3380CC4-5D6E-409C-BE32-E72D297353CC}">
              <c16:uniqueId val="{00000000-4D31-440E-B997-51BCAF7222CF}"/>
            </c:ext>
          </c:extLst>
        </c:ser>
        <c:dLbls>
          <c:showLegendKey val="0"/>
          <c:showVal val="0"/>
          <c:showCatName val="0"/>
          <c:showSerName val="0"/>
          <c:showPercent val="0"/>
          <c:showBubbleSize val="0"/>
        </c:dLbls>
        <c:gapWidth val="219"/>
        <c:overlap val="-27"/>
        <c:axId val="32414399"/>
        <c:axId val="32429759"/>
      </c:barChart>
      <c:catAx>
        <c:axId val="32414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29759"/>
        <c:crosses val="autoZero"/>
        <c:auto val="1"/>
        <c:lblAlgn val="ctr"/>
        <c:lblOffset val="100"/>
        <c:noMultiLvlLbl val="0"/>
      </c:catAx>
      <c:valAx>
        <c:axId val="32429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1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[ITC_DASHBOARD_updated_3.xlsx]Sheet2!GHG</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Sheet2!$B$37:$B$38</c:f>
              <c:strCache>
                <c:ptCount val="1"/>
                <c:pt idx="0">
                  <c:v>FY2024-25</c:v>
                </c:pt>
              </c:strCache>
            </c:strRef>
          </c:tx>
          <c:spPr>
            <a:solidFill>
              <a:schemeClr val="accent1"/>
            </a:solidFill>
            <a:ln>
              <a:noFill/>
            </a:ln>
            <a:effectLst/>
          </c:spPr>
          <c:invertIfNegative val="0"/>
          <c:cat>
            <c:strRef>
              <c:f>Sheet2!$A$39:$A$43</c:f>
              <c:strCache>
                <c:ptCount val="4"/>
                <c:pt idx="0">
                  <c:v>GHG Intensity (FBD)</c:v>
                </c:pt>
                <c:pt idx="1">
                  <c:v>GHG Intensity (PPP)</c:v>
                </c:pt>
                <c:pt idx="2">
                  <c:v>GHG Intensity (PSPD)</c:v>
                </c:pt>
                <c:pt idx="3">
                  <c:v>GHG Intensity per Revenue</c:v>
                </c:pt>
              </c:strCache>
            </c:strRef>
          </c:cat>
          <c:val>
            <c:numRef>
              <c:f>Sheet2!$B$39:$B$43</c:f>
              <c:numCache>
                <c:formatCode>General</c:formatCode>
                <c:ptCount val="4"/>
                <c:pt idx="0">
                  <c:v>0.18</c:v>
                </c:pt>
                <c:pt idx="1">
                  <c:v>34.9</c:v>
                </c:pt>
                <c:pt idx="2">
                  <c:v>1.06</c:v>
                </c:pt>
                <c:pt idx="3">
                  <c:v>16.899999999999999</c:v>
                </c:pt>
              </c:numCache>
            </c:numRef>
          </c:val>
          <c:extLst>
            <c:ext xmlns:c16="http://schemas.microsoft.com/office/drawing/2014/chart" uri="{C3380CC4-5D6E-409C-BE32-E72D297353CC}">
              <c16:uniqueId val="{00000000-83DB-4917-9308-0283E772BCE6}"/>
            </c:ext>
          </c:extLst>
        </c:ser>
        <c:ser>
          <c:idx val="1"/>
          <c:order val="1"/>
          <c:tx>
            <c:strRef>
              <c:f>Sheet2!$C$37:$C$38</c:f>
              <c:strCache>
                <c:ptCount val="1"/>
                <c:pt idx="0">
                  <c:v>FY2025-26</c:v>
                </c:pt>
              </c:strCache>
            </c:strRef>
          </c:tx>
          <c:spPr>
            <a:solidFill>
              <a:schemeClr val="accent2"/>
            </a:solidFill>
            <a:ln>
              <a:noFill/>
            </a:ln>
            <a:effectLst/>
          </c:spPr>
          <c:invertIfNegative val="0"/>
          <c:cat>
            <c:strRef>
              <c:f>Sheet2!$A$39:$A$43</c:f>
              <c:strCache>
                <c:ptCount val="4"/>
                <c:pt idx="0">
                  <c:v>GHG Intensity (FBD)</c:v>
                </c:pt>
                <c:pt idx="1">
                  <c:v>GHG Intensity (PPP)</c:v>
                </c:pt>
                <c:pt idx="2">
                  <c:v>GHG Intensity (PSPD)</c:v>
                </c:pt>
                <c:pt idx="3">
                  <c:v>GHG Intensity per Revenue</c:v>
                </c:pt>
              </c:strCache>
            </c:strRef>
          </c:cat>
          <c:val>
            <c:numRef>
              <c:f>Sheet2!$C$39:$C$43</c:f>
              <c:numCache>
                <c:formatCode>General</c:formatCode>
                <c:ptCount val="4"/>
                <c:pt idx="0">
                  <c:v>0.16</c:v>
                </c:pt>
                <c:pt idx="1">
                  <c:v>29.8</c:v>
                </c:pt>
                <c:pt idx="2">
                  <c:v>1.01</c:v>
                </c:pt>
                <c:pt idx="3">
                  <c:v>14.6</c:v>
                </c:pt>
              </c:numCache>
            </c:numRef>
          </c:val>
          <c:extLst>
            <c:ext xmlns:c16="http://schemas.microsoft.com/office/drawing/2014/chart" uri="{C3380CC4-5D6E-409C-BE32-E72D297353CC}">
              <c16:uniqueId val="{00000000-9827-483F-A8C9-6B0A244FB8E6}"/>
            </c:ext>
          </c:extLst>
        </c:ser>
        <c:dLbls>
          <c:showLegendKey val="0"/>
          <c:showVal val="0"/>
          <c:showCatName val="0"/>
          <c:showSerName val="0"/>
          <c:showPercent val="0"/>
          <c:showBubbleSize val="0"/>
        </c:dLbls>
        <c:gapWidth val="219"/>
        <c:overlap val="-27"/>
        <c:axId val="32432639"/>
        <c:axId val="32433119"/>
      </c:barChart>
      <c:catAx>
        <c:axId val="32432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33119"/>
        <c:crosses val="autoZero"/>
        <c:auto val="1"/>
        <c:lblAlgn val="ctr"/>
        <c:lblOffset val="100"/>
        <c:noMultiLvlLbl val="0"/>
      </c:catAx>
      <c:valAx>
        <c:axId val="32433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32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[ITC_DASHBOARD_updated_3.xlsx]Sheet2!WASTE</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Sheet2!$B$55:$B$56</c:f>
              <c:strCache>
                <c:ptCount val="1"/>
                <c:pt idx="0">
                  <c:v>FY2024-25</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Sheet2!$A$57:$A$62</c:f>
              <c:strCache>
                <c:ptCount val="5"/>
                <c:pt idx="0">
                  <c:v>Battery Waste</c:v>
                </c:pt>
                <c:pt idx="1">
                  <c:v>Bio-medical Waste</c:v>
                </c:pt>
                <c:pt idx="2">
                  <c:v>Construction &amp; Demolition Waste</c:v>
                </c:pt>
                <c:pt idx="3">
                  <c:v>E-waste</c:v>
                </c:pt>
                <c:pt idx="4">
                  <c:v>Other Hazardous Waste</c:v>
                </c:pt>
              </c:strCache>
            </c:strRef>
          </c:cat>
          <c:val>
            <c:numRef>
              <c:f>Sheet2!$B$57:$B$62</c:f>
              <c:numCache>
                <c:formatCode>General</c:formatCode>
                <c:ptCount val="5"/>
                <c:pt idx="0">
                  <c:v>0.23</c:v>
                </c:pt>
                <c:pt idx="1">
                  <c:v>0.02</c:v>
                </c:pt>
                <c:pt idx="2">
                  <c:v>6.1</c:v>
                </c:pt>
                <c:pt idx="3">
                  <c:v>0.08</c:v>
                </c:pt>
                <c:pt idx="4">
                  <c:v>22.5</c:v>
                </c:pt>
              </c:numCache>
            </c:numRef>
          </c:val>
          <c:extLst>
            <c:ext xmlns:c16="http://schemas.microsoft.com/office/drawing/2014/chart" uri="{C3380CC4-5D6E-409C-BE32-E72D297353CC}">
              <c16:uniqueId val="{00000000-4642-415C-80DE-421FE262F02A}"/>
            </c:ext>
          </c:extLst>
        </c:ser>
        <c:ser>
          <c:idx val="1"/>
          <c:order val="1"/>
          <c:tx>
            <c:strRef>
              <c:f>Sheet2!$C$55:$C$56</c:f>
              <c:strCache>
                <c:ptCount val="1"/>
                <c:pt idx="0">
                  <c:v>FY2025-26</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Sheet2!$A$57:$A$62</c:f>
              <c:strCache>
                <c:ptCount val="5"/>
                <c:pt idx="0">
                  <c:v>Battery Waste</c:v>
                </c:pt>
                <c:pt idx="1">
                  <c:v>Bio-medical Waste</c:v>
                </c:pt>
                <c:pt idx="2">
                  <c:v>Construction &amp; Demolition Waste</c:v>
                </c:pt>
                <c:pt idx="3">
                  <c:v>E-waste</c:v>
                </c:pt>
                <c:pt idx="4">
                  <c:v>Other Hazardous Waste</c:v>
                </c:pt>
              </c:strCache>
            </c:strRef>
          </c:cat>
          <c:val>
            <c:numRef>
              <c:f>Sheet2!$C$57:$C$62</c:f>
              <c:numCache>
                <c:formatCode>General</c:formatCode>
                <c:ptCount val="5"/>
                <c:pt idx="0">
                  <c:v>0.25</c:v>
                </c:pt>
                <c:pt idx="1">
                  <c:v>0.02</c:v>
                </c:pt>
                <c:pt idx="2">
                  <c:v>6.4</c:v>
                </c:pt>
                <c:pt idx="3">
                  <c:v>0.08</c:v>
                </c:pt>
                <c:pt idx="4">
                  <c:v>24.3</c:v>
                </c:pt>
              </c:numCache>
            </c:numRef>
          </c:val>
          <c:extLst>
            <c:ext xmlns:c16="http://schemas.microsoft.com/office/drawing/2014/chart" uri="{C3380CC4-5D6E-409C-BE32-E72D297353CC}">
              <c16:uniqueId val="{00000002-C7E4-4A03-AF3D-EA9438AB15F2}"/>
            </c:ext>
          </c:extLst>
        </c:ser>
        <c:dLbls>
          <c:dLblPos val="outEnd"/>
          <c:showLegendKey val="0"/>
          <c:showVal val="1"/>
          <c:showCatName val="0"/>
          <c:showSerName val="0"/>
          <c:showPercent val="0"/>
          <c:showBubbleSize val="0"/>
        </c:dLbls>
        <c:gapWidth val="219"/>
        <c:axId val="32439359"/>
        <c:axId val="32439839"/>
      </c:barChart>
      <c:catAx>
        <c:axId val="32439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39839"/>
        <c:crosses val="autoZero"/>
        <c:auto val="1"/>
        <c:lblAlgn val="ctr"/>
        <c:lblOffset val="100"/>
        <c:noMultiLvlLbl val="0"/>
      </c:catAx>
      <c:valAx>
        <c:axId val="324398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39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[ITC_DASHBOARD_updated_3.xlsx]Sheet2!WATER</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Sheet2!$B$72:$B$73</c:f>
              <c:strCache>
                <c:ptCount val="1"/>
                <c:pt idx="0">
                  <c:v>FY2024-25</c:v>
                </c:pt>
              </c:strCache>
            </c:strRef>
          </c:tx>
          <c:spPr>
            <a:solidFill>
              <a:schemeClr val="accent1"/>
            </a:solidFill>
            <a:ln>
              <a:noFill/>
            </a:ln>
            <a:effectLst/>
          </c:spPr>
          <c:invertIfNegative val="0"/>
          <c:cat>
            <c:strRef>
              <c:f>Sheet2!$A$74:$A$77</c:f>
              <c:strCache>
                <c:ptCount val="3"/>
                <c:pt idx="0">
                  <c:v>Total Water Consumption</c:v>
                </c:pt>
                <c:pt idx="1">
                  <c:v>Total Water Withdrawal</c:v>
                </c:pt>
                <c:pt idx="2">
                  <c:v>Water Intensity</c:v>
                </c:pt>
              </c:strCache>
            </c:strRef>
          </c:cat>
          <c:val>
            <c:numRef>
              <c:f>Sheet2!$B$74:$B$77</c:f>
              <c:numCache>
                <c:formatCode>General</c:formatCode>
                <c:ptCount val="3"/>
                <c:pt idx="0">
                  <c:v>10.5</c:v>
                </c:pt>
                <c:pt idx="1">
                  <c:v>31.2</c:v>
                </c:pt>
                <c:pt idx="2">
                  <c:v>142</c:v>
                </c:pt>
              </c:numCache>
            </c:numRef>
          </c:val>
          <c:extLst>
            <c:ext xmlns:c16="http://schemas.microsoft.com/office/drawing/2014/chart" uri="{C3380CC4-5D6E-409C-BE32-E72D297353CC}">
              <c16:uniqueId val="{00000000-2F33-4D5B-8C80-465883AEAFD5}"/>
            </c:ext>
          </c:extLst>
        </c:ser>
        <c:ser>
          <c:idx val="1"/>
          <c:order val="1"/>
          <c:tx>
            <c:strRef>
              <c:f>Sheet2!$C$72:$C$73</c:f>
              <c:strCache>
                <c:ptCount val="1"/>
                <c:pt idx="0">
                  <c:v>FY2025-26</c:v>
                </c:pt>
              </c:strCache>
            </c:strRef>
          </c:tx>
          <c:spPr>
            <a:solidFill>
              <a:schemeClr val="accent2"/>
            </a:solidFill>
            <a:ln>
              <a:noFill/>
            </a:ln>
            <a:effectLst/>
          </c:spPr>
          <c:invertIfNegative val="0"/>
          <c:cat>
            <c:strRef>
              <c:f>Sheet2!$A$74:$A$77</c:f>
              <c:strCache>
                <c:ptCount val="3"/>
                <c:pt idx="0">
                  <c:v>Total Water Consumption</c:v>
                </c:pt>
                <c:pt idx="1">
                  <c:v>Total Water Withdrawal</c:v>
                </c:pt>
                <c:pt idx="2">
                  <c:v>Water Intensity</c:v>
                </c:pt>
              </c:strCache>
            </c:strRef>
          </c:cat>
          <c:val>
            <c:numRef>
              <c:f>Sheet2!$C$74:$C$77</c:f>
              <c:numCache>
                <c:formatCode>General</c:formatCode>
                <c:ptCount val="3"/>
                <c:pt idx="0">
                  <c:v>11</c:v>
                </c:pt>
                <c:pt idx="1">
                  <c:v>30.1</c:v>
                </c:pt>
                <c:pt idx="2">
                  <c:v>134</c:v>
                </c:pt>
              </c:numCache>
            </c:numRef>
          </c:val>
          <c:extLst>
            <c:ext xmlns:c16="http://schemas.microsoft.com/office/drawing/2014/chart" uri="{C3380CC4-5D6E-409C-BE32-E72D297353CC}">
              <c16:uniqueId val="{00000000-8FD6-4507-ADDB-01AC433ED28E}"/>
            </c:ext>
          </c:extLst>
        </c:ser>
        <c:dLbls>
          <c:showLegendKey val="0"/>
          <c:showVal val="0"/>
          <c:showCatName val="0"/>
          <c:showSerName val="0"/>
          <c:showPercent val="0"/>
          <c:showBubbleSize val="0"/>
        </c:dLbls>
        <c:gapWidth val="219"/>
        <c:overlap val="-27"/>
        <c:axId val="1981199695"/>
        <c:axId val="1981216495"/>
      </c:barChart>
      <c:catAx>
        <c:axId val="1981199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216495"/>
        <c:crosses val="autoZero"/>
        <c:auto val="1"/>
        <c:lblAlgn val="ctr"/>
        <c:lblOffset val="100"/>
        <c:noMultiLvlLbl val="0"/>
      </c:catAx>
      <c:valAx>
        <c:axId val="1981216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199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[ITC_DASHBOARD_updated_3.xlsx]Sheet2!SCOPE 123 , 24-25</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Sheet2!$B$89:$B$90</c:f>
              <c:strCache>
                <c:ptCount val="1"/>
                <c:pt idx="0">
                  <c:v>FY2024-25</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56C-4545-97F9-E196291CC2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56C-4545-97F9-E196291CC2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56C-4545-97F9-E196291CC23B}"/>
              </c:ext>
            </c:extLst>
          </c:dPt>
          <c:cat>
            <c:strRef>
              <c:f>Sheet2!$A$91:$A$94</c:f>
              <c:strCache>
                <c:ptCount val="3"/>
                <c:pt idx="0">
                  <c:v>Scope 1 Emissions</c:v>
                </c:pt>
                <c:pt idx="1">
                  <c:v>Scope 2 Emissions</c:v>
                </c:pt>
                <c:pt idx="2">
                  <c:v>Scope 3 Emissions</c:v>
                </c:pt>
              </c:strCache>
            </c:strRef>
          </c:cat>
          <c:val>
            <c:numRef>
              <c:f>Sheet2!$B$91:$B$94</c:f>
              <c:numCache>
                <c:formatCode>General</c:formatCode>
                <c:ptCount val="3"/>
                <c:pt idx="0">
                  <c:v>1101</c:v>
                </c:pt>
                <c:pt idx="1">
                  <c:v>153</c:v>
                </c:pt>
                <c:pt idx="2">
                  <c:v>1062</c:v>
                </c:pt>
              </c:numCache>
            </c:numRef>
          </c:val>
          <c:extLst>
            <c:ext xmlns:c16="http://schemas.microsoft.com/office/drawing/2014/chart" uri="{C3380CC4-5D6E-409C-BE32-E72D297353CC}">
              <c16:uniqueId val="{00000000-DC45-4A5E-BABE-DB24226E05C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[ITC_DASHBOARD_updated_3.xlsx]Sheet2!SCOPE 123, 25-26</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Sheet2!$N$89:$N$90</c:f>
              <c:strCache>
                <c:ptCount val="1"/>
                <c:pt idx="0">
                  <c:v>FY2025-26</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834-46D5-96FD-FFC89153F6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834-46D5-96FD-FFC89153F6C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834-46D5-96FD-FFC89153F6CA}"/>
              </c:ext>
            </c:extLst>
          </c:dPt>
          <c:cat>
            <c:strRef>
              <c:f>Sheet2!$M$91:$M$94</c:f>
              <c:strCache>
                <c:ptCount val="3"/>
                <c:pt idx="0">
                  <c:v>Scope 1 Emissions</c:v>
                </c:pt>
                <c:pt idx="1">
                  <c:v>Scope 2 Emissions</c:v>
                </c:pt>
                <c:pt idx="2">
                  <c:v>Scope 3 Emissions</c:v>
                </c:pt>
              </c:strCache>
            </c:strRef>
          </c:cat>
          <c:val>
            <c:numRef>
              <c:f>Sheet2!$N$91:$N$94</c:f>
              <c:numCache>
                <c:formatCode>General</c:formatCode>
                <c:ptCount val="3"/>
                <c:pt idx="0">
                  <c:v>1045</c:v>
                </c:pt>
                <c:pt idx="1">
                  <c:v>151</c:v>
                </c:pt>
                <c:pt idx="2">
                  <c:v>1442</c:v>
                </c:pt>
              </c:numCache>
            </c:numRef>
          </c:val>
          <c:extLst>
            <c:ext xmlns:c16="http://schemas.microsoft.com/office/drawing/2014/chart" uri="{C3380CC4-5D6E-409C-BE32-E72D297353CC}">
              <c16:uniqueId val="{00000000-47C0-4B1A-8506-D2974258919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11043</xdr:colOff>
      <xdr:row>2</xdr:row>
      <xdr:rowOff>170792</xdr:rowOff>
    </xdr:from>
    <xdr:to>
      <xdr:col>2</xdr:col>
      <xdr:colOff>367862</xdr:colOff>
      <xdr:row>8</xdr:row>
      <xdr:rowOff>165652</xdr:rowOff>
    </xdr:to>
    <xdr:sp macro="" textlink="">
      <xdr:nvSpPr>
        <xdr:cNvPr id="11" name="Rectangle 10">
          <a:extLst>
            <a:ext uri="{FF2B5EF4-FFF2-40B4-BE49-F238E27FC236}">
              <a16:creationId xmlns:a16="http://schemas.microsoft.com/office/drawing/2014/main" id="{594086D9-8D5F-9ED1-3011-AAAA9AFC0681}"/>
            </a:ext>
          </a:extLst>
        </xdr:cNvPr>
        <xdr:cNvSpPr/>
      </xdr:nvSpPr>
      <xdr:spPr>
        <a:xfrm>
          <a:off x="11043" y="486102"/>
          <a:ext cx="1565509" cy="1492584"/>
        </a:xfrm>
        <a:prstGeom prst="rect">
          <a:avLst/>
        </a:prstGeom>
        <a:solidFill>
          <a:srgbClr val="0034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solidFill>
                <a:schemeClr val="lt1"/>
              </a:solidFill>
              <a:effectLst/>
              <a:latin typeface="+mn-lt"/>
              <a:ea typeface="+mn-ea"/>
              <a:cs typeface="+mn-cs"/>
            </a:rPr>
            <a:t>⚡ Total Energy Consumed</a:t>
          </a:r>
          <a:endParaRPr lang="en-IN" sz="1400">
            <a:effectLst/>
          </a:endParaRPr>
        </a:p>
        <a:p>
          <a:pPr algn="ctr"/>
          <a:r>
            <a:rPr lang="en-IN" sz="1400">
              <a:solidFill>
                <a:schemeClr val="lt1"/>
              </a:solidFill>
              <a:effectLst/>
              <a:latin typeface="+mn-lt"/>
              <a:ea typeface="+mn-ea"/>
              <a:cs typeface="+mn-cs"/>
            </a:rPr>
            <a:t>24,025 TJ</a:t>
          </a:r>
          <a:endParaRPr lang="en-IN" sz="1400">
            <a:effectLst/>
          </a:endParaRPr>
        </a:p>
        <a:p>
          <a:pPr algn="ctr"/>
          <a:r>
            <a:rPr lang="en-IN" sz="1400">
              <a:solidFill>
                <a:schemeClr val="lt1"/>
              </a:solidFill>
              <a:effectLst/>
              <a:latin typeface="+mn-lt"/>
              <a:ea typeface="+mn-ea"/>
              <a:cs typeface="+mn-cs"/>
            </a:rPr>
            <a:t>▼ 6.85%</a:t>
          </a:r>
          <a:endParaRPr lang="en-IN" sz="1400">
            <a:effectLst/>
          </a:endParaRPr>
        </a:p>
        <a:p>
          <a:pPr algn="ctr"/>
          <a:r>
            <a:rPr lang="en-IN" sz="1400">
              <a:solidFill>
                <a:schemeClr val="lt1"/>
              </a:solidFill>
              <a:effectLst/>
              <a:latin typeface="+mn-lt"/>
              <a:ea typeface="+mn-ea"/>
              <a:cs typeface="+mn-cs"/>
            </a:rPr>
            <a:t>vs FY2024–25</a:t>
          </a:r>
          <a:endParaRPr lang="en-IN" sz="1400"/>
        </a:p>
      </xdr:txBody>
    </xdr:sp>
    <xdr:clientData/>
  </xdr:twoCellAnchor>
  <xdr:twoCellAnchor>
    <xdr:from>
      <xdr:col>2</xdr:col>
      <xdr:colOff>420413</xdr:colOff>
      <xdr:row>3</xdr:row>
      <xdr:rowOff>0</xdr:rowOff>
    </xdr:from>
    <xdr:to>
      <xdr:col>5</xdr:col>
      <xdr:colOff>262759</xdr:colOff>
      <xdr:row>8</xdr:row>
      <xdr:rowOff>165653</xdr:rowOff>
    </xdr:to>
    <xdr:sp macro="" textlink="">
      <xdr:nvSpPr>
        <xdr:cNvPr id="12" name="Rectangle 11">
          <a:extLst>
            <a:ext uri="{FF2B5EF4-FFF2-40B4-BE49-F238E27FC236}">
              <a16:creationId xmlns:a16="http://schemas.microsoft.com/office/drawing/2014/main" id="{224D324F-93C0-4CAB-B82C-1653E328B937}"/>
            </a:ext>
          </a:extLst>
        </xdr:cNvPr>
        <xdr:cNvSpPr/>
      </xdr:nvSpPr>
      <xdr:spPr>
        <a:xfrm>
          <a:off x="1629103" y="486103"/>
          <a:ext cx="1655380" cy="1492584"/>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solidFill>
                <a:schemeClr val="lt1"/>
              </a:solidFill>
              <a:effectLst/>
              <a:latin typeface="+mn-lt"/>
              <a:ea typeface="+mn-ea"/>
              <a:cs typeface="+mn-cs"/>
            </a:rPr>
            <a:t>💧 Total Water Withdrawal</a:t>
          </a:r>
          <a:endParaRPr lang="en-IN" sz="1400">
            <a:effectLst/>
          </a:endParaRPr>
        </a:p>
        <a:p>
          <a:pPr algn="ctr"/>
          <a:r>
            <a:rPr lang="en-IN" sz="1400">
              <a:solidFill>
                <a:schemeClr val="lt1"/>
              </a:solidFill>
              <a:effectLst/>
              <a:latin typeface="+mn-lt"/>
              <a:ea typeface="+mn-ea"/>
              <a:cs typeface="+mn-cs"/>
            </a:rPr>
            <a:t>30.1 Mn KL</a:t>
          </a:r>
          <a:endParaRPr lang="en-IN" sz="1400">
            <a:effectLst/>
          </a:endParaRPr>
        </a:p>
        <a:p>
          <a:pPr algn="ctr"/>
          <a:r>
            <a:rPr lang="en-IN" sz="1400">
              <a:solidFill>
                <a:schemeClr val="lt1"/>
              </a:solidFill>
              <a:effectLst/>
              <a:latin typeface="+mn-lt"/>
              <a:ea typeface="+mn-ea"/>
              <a:cs typeface="+mn-cs"/>
            </a:rPr>
            <a:t>▼ 3.53%</a:t>
          </a:r>
          <a:endParaRPr lang="en-IN" sz="1400">
            <a:effectLst/>
          </a:endParaRPr>
        </a:p>
        <a:p>
          <a:pPr algn="ctr"/>
          <a:r>
            <a:rPr lang="en-IN" sz="1400">
              <a:solidFill>
                <a:schemeClr val="lt1"/>
              </a:solidFill>
              <a:effectLst/>
              <a:latin typeface="+mn-lt"/>
              <a:ea typeface="+mn-ea"/>
              <a:cs typeface="+mn-cs"/>
            </a:rPr>
            <a:t>vs FY2024–25</a:t>
          </a:r>
          <a:endParaRPr lang="en-IN" sz="1400"/>
        </a:p>
      </xdr:txBody>
    </xdr:sp>
    <xdr:clientData/>
  </xdr:twoCellAnchor>
  <xdr:twoCellAnchor>
    <xdr:from>
      <xdr:col>5</xdr:col>
      <xdr:colOff>315309</xdr:colOff>
      <xdr:row>3</xdr:row>
      <xdr:rowOff>0</xdr:rowOff>
    </xdr:from>
    <xdr:to>
      <xdr:col>8</xdr:col>
      <xdr:colOff>315308</xdr:colOff>
      <xdr:row>8</xdr:row>
      <xdr:rowOff>165653</xdr:rowOff>
    </xdr:to>
    <xdr:sp macro="" textlink="">
      <xdr:nvSpPr>
        <xdr:cNvPr id="13" name="Rectangle 12">
          <a:extLst>
            <a:ext uri="{FF2B5EF4-FFF2-40B4-BE49-F238E27FC236}">
              <a16:creationId xmlns:a16="http://schemas.microsoft.com/office/drawing/2014/main" id="{9BB10E4A-AAC8-4F93-A1A5-7ED1FA5AA8F7}"/>
            </a:ext>
          </a:extLst>
        </xdr:cNvPr>
        <xdr:cNvSpPr/>
      </xdr:nvSpPr>
      <xdr:spPr>
        <a:xfrm>
          <a:off x="3337033" y="486103"/>
          <a:ext cx="1813034" cy="1492584"/>
        </a:xfrm>
        <a:prstGeom prst="rect">
          <a:avLst/>
        </a:prstGeom>
        <a:solidFill>
          <a:srgbClr val="0034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solidFill>
                <a:schemeClr val="lt1"/>
              </a:solidFill>
              <a:effectLst/>
              <a:latin typeface="+mn-lt"/>
              <a:ea typeface="+mn-ea"/>
              <a:cs typeface="+mn-cs"/>
            </a:rPr>
            <a:t>🌍 Scope 1 GHG Emissions</a:t>
          </a:r>
          <a:endParaRPr lang="en-IN" sz="1400">
            <a:effectLst/>
          </a:endParaRPr>
        </a:p>
        <a:p>
          <a:pPr algn="ctr"/>
          <a:r>
            <a:rPr lang="en-IN" sz="1400">
              <a:solidFill>
                <a:schemeClr val="lt1"/>
              </a:solidFill>
              <a:effectLst/>
              <a:latin typeface="+mn-lt"/>
              <a:ea typeface="+mn-ea"/>
              <a:cs typeface="+mn-cs"/>
            </a:rPr>
            <a:t>1,045 tCO₂e</a:t>
          </a:r>
          <a:endParaRPr lang="en-IN" sz="1400">
            <a:effectLst/>
          </a:endParaRPr>
        </a:p>
        <a:p>
          <a:pPr algn="ctr"/>
          <a:r>
            <a:rPr lang="en-IN" sz="1400">
              <a:solidFill>
                <a:schemeClr val="lt1"/>
              </a:solidFill>
              <a:effectLst/>
              <a:latin typeface="+mn-lt"/>
              <a:ea typeface="+mn-ea"/>
              <a:cs typeface="+mn-cs"/>
            </a:rPr>
            <a:t>▼ 5.09%</a:t>
          </a:r>
          <a:endParaRPr lang="en-IN" sz="1400">
            <a:effectLst/>
          </a:endParaRPr>
        </a:p>
        <a:p>
          <a:pPr algn="ctr"/>
          <a:r>
            <a:rPr lang="en-IN" sz="1400">
              <a:solidFill>
                <a:schemeClr val="lt1"/>
              </a:solidFill>
              <a:effectLst/>
              <a:latin typeface="+mn-lt"/>
              <a:ea typeface="+mn-ea"/>
              <a:cs typeface="+mn-cs"/>
            </a:rPr>
            <a:t>vs FY2024–25</a:t>
          </a:r>
          <a:endParaRPr lang="en-IN" sz="1400"/>
        </a:p>
      </xdr:txBody>
    </xdr:sp>
    <xdr:clientData/>
  </xdr:twoCellAnchor>
  <xdr:twoCellAnchor>
    <xdr:from>
      <xdr:col>8</xdr:col>
      <xdr:colOff>367860</xdr:colOff>
      <xdr:row>3</xdr:row>
      <xdr:rowOff>0</xdr:rowOff>
    </xdr:from>
    <xdr:to>
      <xdr:col>11</xdr:col>
      <xdr:colOff>223343</xdr:colOff>
      <xdr:row>8</xdr:row>
      <xdr:rowOff>165653</xdr:rowOff>
    </xdr:to>
    <xdr:sp macro="" textlink="">
      <xdr:nvSpPr>
        <xdr:cNvPr id="14" name="Rectangle 13">
          <a:extLst>
            <a:ext uri="{FF2B5EF4-FFF2-40B4-BE49-F238E27FC236}">
              <a16:creationId xmlns:a16="http://schemas.microsoft.com/office/drawing/2014/main" id="{6261F353-BEFF-404E-AD01-04179E04F3C8}"/>
            </a:ext>
          </a:extLst>
        </xdr:cNvPr>
        <xdr:cNvSpPr/>
      </xdr:nvSpPr>
      <xdr:spPr>
        <a:xfrm>
          <a:off x="5202619" y="486103"/>
          <a:ext cx="1668517" cy="1492584"/>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solidFill>
                <a:schemeClr val="lt1"/>
              </a:solidFill>
              <a:effectLst/>
              <a:latin typeface="+mn-lt"/>
              <a:ea typeface="+mn-ea"/>
              <a:cs typeface="+mn-cs"/>
            </a:rPr>
            <a:t>♻ Total Waste Generated</a:t>
          </a:r>
          <a:endParaRPr lang="en-IN" sz="1400">
            <a:effectLst/>
          </a:endParaRPr>
        </a:p>
        <a:p>
          <a:pPr algn="ctr"/>
          <a:r>
            <a:rPr lang="en-IN" sz="1400">
              <a:solidFill>
                <a:schemeClr val="lt1"/>
              </a:solidFill>
              <a:effectLst/>
              <a:latin typeface="+mn-lt"/>
              <a:ea typeface="+mn-ea"/>
              <a:cs typeface="+mn-cs"/>
            </a:rPr>
            <a:t>709.05 Kt</a:t>
          </a:r>
          <a:endParaRPr lang="en-IN" sz="1400">
            <a:effectLst/>
          </a:endParaRPr>
        </a:p>
        <a:p>
          <a:pPr algn="ctr"/>
          <a:r>
            <a:rPr lang="en-IN" sz="1400">
              <a:solidFill>
                <a:schemeClr val="lt1"/>
              </a:solidFill>
              <a:effectLst/>
              <a:latin typeface="+mn-lt"/>
              <a:ea typeface="+mn-ea"/>
              <a:cs typeface="+mn-cs"/>
            </a:rPr>
            <a:t>▼1.78%</a:t>
          </a:r>
          <a:endParaRPr lang="en-IN" sz="1400">
            <a:effectLst/>
          </a:endParaRPr>
        </a:p>
        <a:p>
          <a:pPr algn="ctr"/>
          <a:r>
            <a:rPr lang="en-IN" sz="1400">
              <a:solidFill>
                <a:schemeClr val="lt1"/>
              </a:solidFill>
              <a:effectLst/>
              <a:latin typeface="+mn-lt"/>
              <a:ea typeface="+mn-ea"/>
              <a:cs typeface="+mn-cs"/>
            </a:rPr>
            <a:t>vs FY2024–25</a:t>
          </a:r>
          <a:endParaRPr lang="en-IN" sz="1400"/>
        </a:p>
      </xdr:txBody>
    </xdr:sp>
    <xdr:clientData/>
  </xdr:twoCellAnchor>
  <xdr:twoCellAnchor>
    <xdr:from>
      <xdr:col>11</xdr:col>
      <xdr:colOff>262757</xdr:colOff>
      <xdr:row>3</xdr:row>
      <xdr:rowOff>0</xdr:rowOff>
    </xdr:from>
    <xdr:to>
      <xdr:col>14</xdr:col>
      <xdr:colOff>249618</xdr:colOff>
      <xdr:row>8</xdr:row>
      <xdr:rowOff>165653</xdr:rowOff>
    </xdr:to>
    <xdr:sp macro="" textlink="">
      <xdr:nvSpPr>
        <xdr:cNvPr id="15" name="Rectangle 14">
          <a:extLst>
            <a:ext uri="{FF2B5EF4-FFF2-40B4-BE49-F238E27FC236}">
              <a16:creationId xmlns:a16="http://schemas.microsoft.com/office/drawing/2014/main" id="{3C402F33-A239-46E5-AB5D-3027C9325881}"/>
            </a:ext>
          </a:extLst>
        </xdr:cNvPr>
        <xdr:cNvSpPr/>
      </xdr:nvSpPr>
      <xdr:spPr>
        <a:xfrm>
          <a:off x="6910550" y="486103"/>
          <a:ext cx="1799896" cy="1492584"/>
        </a:xfrm>
        <a:prstGeom prst="rect">
          <a:avLst/>
        </a:prstGeom>
        <a:solidFill>
          <a:srgbClr val="0034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solidFill>
                <a:schemeClr val="lt1"/>
              </a:solidFill>
              <a:effectLst/>
              <a:latin typeface="+mn-lt"/>
              <a:ea typeface="+mn-ea"/>
              <a:cs typeface="+mn-cs"/>
            </a:rPr>
            <a:t>🌬 NOx Emissions</a:t>
          </a:r>
          <a:endParaRPr lang="en-IN" sz="1400">
            <a:effectLst/>
          </a:endParaRPr>
        </a:p>
        <a:p>
          <a:pPr algn="ctr"/>
          <a:r>
            <a:rPr lang="en-IN" sz="1400">
              <a:solidFill>
                <a:schemeClr val="lt1"/>
              </a:solidFill>
              <a:effectLst/>
              <a:latin typeface="+mn-lt"/>
              <a:ea typeface="+mn-ea"/>
              <a:cs typeface="+mn-cs"/>
            </a:rPr>
            <a:t>2,006 t</a:t>
          </a:r>
          <a:endParaRPr lang="en-IN" sz="1400">
            <a:effectLst/>
          </a:endParaRPr>
        </a:p>
        <a:p>
          <a:pPr algn="ctr"/>
          <a:r>
            <a:rPr lang="en-IN" sz="1400">
              <a:solidFill>
                <a:schemeClr val="lt1"/>
              </a:solidFill>
              <a:effectLst/>
              <a:latin typeface="+mn-lt"/>
              <a:ea typeface="+mn-ea"/>
              <a:cs typeface="+mn-cs"/>
            </a:rPr>
            <a:t>▼ 2.81%</a:t>
          </a:r>
          <a:endParaRPr lang="en-IN" sz="1400">
            <a:effectLst/>
          </a:endParaRPr>
        </a:p>
        <a:p>
          <a:pPr algn="ctr"/>
          <a:r>
            <a:rPr lang="en-IN" sz="1400">
              <a:solidFill>
                <a:schemeClr val="lt1"/>
              </a:solidFill>
              <a:effectLst/>
              <a:latin typeface="+mn-lt"/>
              <a:ea typeface="+mn-ea"/>
              <a:cs typeface="+mn-cs"/>
            </a:rPr>
            <a:t>vs FY2024–25</a:t>
          </a:r>
          <a:endParaRPr lang="en-IN" sz="1400"/>
        </a:p>
      </xdr:txBody>
    </xdr:sp>
    <xdr:clientData/>
  </xdr:twoCellAnchor>
  <xdr:twoCellAnchor>
    <xdr:from>
      <xdr:col>14</xdr:col>
      <xdr:colOff>302170</xdr:colOff>
      <xdr:row>3</xdr:row>
      <xdr:rowOff>0</xdr:rowOff>
    </xdr:from>
    <xdr:to>
      <xdr:col>17</xdr:col>
      <xdr:colOff>578069</xdr:colOff>
      <xdr:row>8</xdr:row>
      <xdr:rowOff>165653</xdr:rowOff>
    </xdr:to>
    <xdr:sp macro="" textlink="">
      <xdr:nvSpPr>
        <xdr:cNvPr id="16" name="Rectangle 15">
          <a:extLst>
            <a:ext uri="{FF2B5EF4-FFF2-40B4-BE49-F238E27FC236}">
              <a16:creationId xmlns:a16="http://schemas.microsoft.com/office/drawing/2014/main" id="{D1B071C7-5D79-4CC7-A629-B5342F9B10B4}"/>
            </a:ext>
          </a:extLst>
        </xdr:cNvPr>
        <xdr:cNvSpPr/>
      </xdr:nvSpPr>
      <xdr:spPr>
        <a:xfrm>
          <a:off x="8762998" y="486103"/>
          <a:ext cx="2088933" cy="1492584"/>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solidFill>
                <a:schemeClr val="lt1"/>
              </a:solidFill>
              <a:effectLst/>
              <a:latin typeface="+mn-lt"/>
              <a:ea typeface="+mn-ea"/>
              <a:cs typeface="+mn-cs"/>
            </a:rPr>
            <a:t>🌱 Renewable Electricity Consumption</a:t>
          </a:r>
          <a:endParaRPr lang="en-IN" sz="1400">
            <a:effectLst/>
          </a:endParaRPr>
        </a:p>
        <a:p>
          <a:pPr algn="ctr"/>
          <a:r>
            <a:rPr lang="en-IN" sz="1400">
              <a:solidFill>
                <a:schemeClr val="lt1"/>
              </a:solidFill>
              <a:effectLst/>
              <a:latin typeface="+mn-lt"/>
              <a:ea typeface="+mn-ea"/>
              <a:cs typeface="+mn-cs"/>
            </a:rPr>
            <a:t>964 TJ</a:t>
          </a:r>
          <a:endParaRPr lang="en-IN" sz="1400">
            <a:effectLst/>
          </a:endParaRPr>
        </a:p>
        <a:p>
          <a:pPr algn="ctr"/>
          <a:r>
            <a:rPr lang="en-IN" sz="1400">
              <a:solidFill>
                <a:schemeClr val="lt1"/>
              </a:solidFill>
              <a:effectLst/>
              <a:latin typeface="+mn-lt"/>
              <a:ea typeface="+mn-ea"/>
              <a:cs typeface="+mn-cs"/>
            </a:rPr>
            <a:t>▲ 11.06%</a:t>
          </a:r>
          <a:endParaRPr lang="en-IN" sz="1400">
            <a:effectLst/>
          </a:endParaRPr>
        </a:p>
        <a:p>
          <a:pPr algn="ctr"/>
          <a:r>
            <a:rPr lang="en-IN" sz="1400">
              <a:solidFill>
                <a:schemeClr val="lt1"/>
              </a:solidFill>
              <a:effectLst/>
              <a:latin typeface="+mn-lt"/>
              <a:ea typeface="+mn-ea"/>
              <a:cs typeface="+mn-cs"/>
            </a:rPr>
            <a:t>vs FY2024–25</a:t>
          </a:r>
          <a:endParaRPr lang="en-IN" sz="1400"/>
        </a:p>
      </xdr:txBody>
    </xdr:sp>
    <xdr:clientData/>
  </xdr:twoCellAnchor>
  <xdr:twoCellAnchor>
    <xdr:from>
      <xdr:col>18</xdr:col>
      <xdr:colOff>13133</xdr:colOff>
      <xdr:row>2</xdr:row>
      <xdr:rowOff>157655</xdr:rowOff>
    </xdr:from>
    <xdr:to>
      <xdr:col>20</xdr:col>
      <xdr:colOff>341584</xdr:colOff>
      <xdr:row>9</xdr:row>
      <xdr:rowOff>10886</xdr:rowOff>
    </xdr:to>
    <xdr:sp macro="" textlink="">
      <xdr:nvSpPr>
        <xdr:cNvPr id="17" name="Rectangle 16">
          <a:extLst>
            <a:ext uri="{FF2B5EF4-FFF2-40B4-BE49-F238E27FC236}">
              <a16:creationId xmlns:a16="http://schemas.microsoft.com/office/drawing/2014/main" id="{40602A97-5FE2-48DB-B290-4C52E76A872C}"/>
            </a:ext>
          </a:extLst>
        </xdr:cNvPr>
        <xdr:cNvSpPr/>
      </xdr:nvSpPr>
      <xdr:spPr>
        <a:xfrm>
          <a:off x="10985933" y="789026"/>
          <a:ext cx="1547651" cy="1551403"/>
        </a:xfrm>
        <a:prstGeom prst="rect">
          <a:avLst/>
        </a:prstGeom>
        <a:solidFill>
          <a:srgbClr val="0034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 SOx Emissions</a:t>
          </a:r>
        </a:p>
        <a:p>
          <a:pPr algn="ctr"/>
          <a:endParaRPr lang="en-IN" sz="1400"/>
        </a:p>
        <a:p>
          <a:pPr algn="ctr"/>
          <a:r>
            <a:rPr lang="en-IN" sz="1400"/>
            <a:t>1,700 t</a:t>
          </a:r>
        </a:p>
        <a:p>
          <a:pPr algn="ctr"/>
          <a:r>
            <a:rPr lang="en-IN" sz="1400"/>
            <a:t>▼ 25.67%</a:t>
          </a:r>
        </a:p>
        <a:p>
          <a:pPr algn="ctr"/>
          <a:r>
            <a:rPr lang="en-IN" sz="1400"/>
            <a:t>vs FY2024–25</a:t>
          </a:r>
        </a:p>
      </xdr:txBody>
    </xdr:sp>
    <xdr:clientData/>
  </xdr:twoCellAnchor>
  <xdr:twoCellAnchor>
    <xdr:from>
      <xdr:col>20</xdr:col>
      <xdr:colOff>380991</xdr:colOff>
      <xdr:row>2</xdr:row>
      <xdr:rowOff>157655</xdr:rowOff>
    </xdr:from>
    <xdr:to>
      <xdr:col>23</xdr:col>
      <xdr:colOff>499241</xdr:colOff>
      <xdr:row>8</xdr:row>
      <xdr:rowOff>174171</xdr:rowOff>
    </xdr:to>
    <xdr:sp macro="" textlink="">
      <xdr:nvSpPr>
        <xdr:cNvPr id="18" name="Rectangle 17">
          <a:extLst>
            <a:ext uri="{FF2B5EF4-FFF2-40B4-BE49-F238E27FC236}">
              <a16:creationId xmlns:a16="http://schemas.microsoft.com/office/drawing/2014/main" id="{29B98E03-73DD-4912-88F6-E8DFFB110DB1}"/>
            </a:ext>
          </a:extLst>
        </xdr:cNvPr>
        <xdr:cNvSpPr/>
      </xdr:nvSpPr>
      <xdr:spPr>
        <a:xfrm>
          <a:off x="12572991" y="789026"/>
          <a:ext cx="1947050" cy="1518745"/>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 Total Water Consumption</a:t>
          </a:r>
        </a:p>
        <a:p>
          <a:pPr algn="ctr"/>
          <a:endParaRPr lang="en-IN" sz="1400"/>
        </a:p>
        <a:p>
          <a:pPr algn="ctr"/>
          <a:r>
            <a:rPr lang="en-IN" sz="1400"/>
            <a:t>11.0 Mn kL</a:t>
          </a:r>
        </a:p>
        <a:p>
          <a:pPr algn="ctr"/>
          <a:r>
            <a:rPr lang="en-IN" sz="1400"/>
            <a:t>▲ 4.76%</a:t>
          </a:r>
        </a:p>
        <a:p>
          <a:pPr algn="ctr"/>
          <a:r>
            <a:rPr lang="en-IN" sz="1400"/>
            <a:t>vs FY2024–25</a:t>
          </a:r>
        </a:p>
      </xdr:txBody>
    </xdr:sp>
    <xdr:clientData/>
  </xdr:twoCellAnchor>
  <xdr:twoCellAnchor>
    <xdr:from>
      <xdr:col>0</xdr:col>
      <xdr:colOff>0</xdr:colOff>
      <xdr:row>9</xdr:row>
      <xdr:rowOff>0</xdr:rowOff>
    </xdr:from>
    <xdr:to>
      <xdr:col>8</xdr:col>
      <xdr:colOff>591207</xdr:colOff>
      <xdr:row>25</xdr:row>
      <xdr:rowOff>176695</xdr:rowOff>
    </xdr:to>
    <xdr:graphicFrame macro="">
      <xdr:nvGraphicFramePr>
        <xdr:cNvPr id="22" name="Chart 21">
          <a:extLst>
            <a:ext uri="{FF2B5EF4-FFF2-40B4-BE49-F238E27FC236}">
              <a16:creationId xmlns:a16="http://schemas.microsoft.com/office/drawing/2014/main" id="{63B0FC1F-14A0-4F79-95AF-15E47586A7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10</xdr:col>
      <xdr:colOff>574261</xdr:colOff>
      <xdr:row>13</xdr:row>
      <xdr:rowOff>55217</xdr:rowOff>
    </xdr:from>
    <xdr:ext cx="2905026" cy="474870"/>
    <xdr:sp macro="" textlink="">
      <xdr:nvSpPr>
        <xdr:cNvPr id="23" name="TextBox 22">
          <a:extLst>
            <a:ext uri="{FF2B5EF4-FFF2-40B4-BE49-F238E27FC236}">
              <a16:creationId xmlns:a16="http://schemas.microsoft.com/office/drawing/2014/main" id="{ACC31B34-6FB8-AD31-E236-0823E54644B2}"/>
            </a:ext>
          </a:extLst>
        </xdr:cNvPr>
        <xdr:cNvSpPr txBox="1"/>
      </xdr:nvSpPr>
      <xdr:spPr>
        <a:xfrm>
          <a:off x="6648174" y="2827130"/>
          <a:ext cx="2905026" cy="4748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rtl="0" eaLnBrk="1" fontAlgn="auto" latinLnBrk="0" hangingPunct="1">
            <a:lnSpc>
              <a:spcPct val="100000"/>
            </a:lnSpc>
            <a:spcBef>
              <a:spcPts val="0"/>
            </a:spcBef>
            <a:spcAft>
              <a:spcPts val="0"/>
            </a:spcAft>
            <a:buClrTx/>
            <a:buSzTx/>
            <a:buFontTx/>
            <a:buNone/>
            <a:tabLst/>
            <a:defRPr/>
          </a:pPr>
          <a:r>
            <a:rPr lang="en-IN" sz="2400" b="1" i="0" baseline="0">
              <a:solidFill>
                <a:schemeClr val="tx1"/>
              </a:solidFill>
              <a:effectLst/>
              <a:latin typeface="+mn-lt"/>
              <a:ea typeface="+mn-ea"/>
              <a:cs typeface="+mn-cs"/>
            </a:rPr>
            <a:t>Energy Consumption </a:t>
          </a:r>
          <a:endParaRPr lang="en-IN" sz="2400">
            <a:effectLst/>
          </a:endParaRPr>
        </a:p>
        <a:p>
          <a:endParaRPr lang="en-IN" sz="1100"/>
        </a:p>
      </xdr:txBody>
    </xdr:sp>
    <xdr:clientData/>
  </xdr:oneCellAnchor>
  <xdr:oneCellAnchor>
    <xdr:from>
      <xdr:col>0</xdr:col>
      <xdr:colOff>39414</xdr:colOff>
      <xdr:row>9</xdr:row>
      <xdr:rowOff>33130</xdr:rowOff>
    </xdr:from>
    <xdr:ext cx="5360275" cy="269043"/>
    <xdr:sp macro="" textlink="">
      <xdr:nvSpPr>
        <xdr:cNvPr id="24" name="TextBox 23">
          <a:extLst>
            <a:ext uri="{FF2B5EF4-FFF2-40B4-BE49-F238E27FC236}">
              <a16:creationId xmlns:a16="http://schemas.microsoft.com/office/drawing/2014/main" id="{E6852CB9-62BC-1628-995B-B2A1F55BB01B}"/>
            </a:ext>
          </a:extLst>
        </xdr:cNvPr>
        <xdr:cNvSpPr txBox="1"/>
      </xdr:nvSpPr>
      <xdr:spPr>
        <a:xfrm>
          <a:off x="39414" y="2043233"/>
          <a:ext cx="5360275" cy="269043"/>
        </a:xfrm>
        <a:prstGeom prst="rect">
          <a:avLst/>
        </a:prstGeom>
        <a:solidFill>
          <a:srgbClr val="15210D"/>
        </a:solid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2000" b="1">
              <a:solidFill>
                <a:schemeClr val="bg1"/>
              </a:solidFill>
              <a:effectLst/>
            </a:rPr>
            <a:t>Waste</a:t>
          </a:r>
          <a:r>
            <a:rPr lang="en-IN" sz="2000" b="1" baseline="0">
              <a:solidFill>
                <a:schemeClr val="bg1"/>
              </a:solidFill>
              <a:effectLst/>
            </a:rPr>
            <a:t> Management</a:t>
          </a:r>
          <a:endParaRPr lang="en-IN" sz="2000" b="1">
            <a:solidFill>
              <a:schemeClr val="bg1"/>
            </a:solidFill>
            <a:effectLst/>
          </a:endParaRPr>
        </a:p>
        <a:p>
          <a:endParaRPr lang="en-IN" sz="1100" b="1"/>
        </a:p>
      </xdr:txBody>
    </xdr:sp>
    <xdr:clientData/>
  </xdr:oneCellAnchor>
  <xdr:twoCellAnchor>
    <xdr:from>
      <xdr:col>9</xdr:col>
      <xdr:colOff>26276</xdr:colOff>
      <xdr:row>9</xdr:row>
      <xdr:rowOff>0</xdr:rowOff>
    </xdr:from>
    <xdr:to>
      <xdr:col>17</xdr:col>
      <xdr:colOff>564930</xdr:colOff>
      <xdr:row>25</xdr:row>
      <xdr:rowOff>165651</xdr:rowOff>
    </xdr:to>
    <xdr:graphicFrame macro="">
      <xdr:nvGraphicFramePr>
        <xdr:cNvPr id="25" name="Chart 24">
          <a:extLst>
            <a:ext uri="{FF2B5EF4-FFF2-40B4-BE49-F238E27FC236}">
              <a16:creationId xmlns:a16="http://schemas.microsoft.com/office/drawing/2014/main" id="{EF4AD522-5E2B-499E-ADCE-271D82D3DA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9</xdr:col>
      <xdr:colOff>26276</xdr:colOff>
      <xdr:row>8</xdr:row>
      <xdr:rowOff>178791</xdr:rowOff>
    </xdr:from>
    <xdr:ext cx="5399690" cy="359865"/>
    <xdr:sp macro="" textlink="">
      <xdr:nvSpPr>
        <xdr:cNvPr id="26" name="TextBox 25">
          <a:extLst>
            <a:ext uri="{FF2B5EF4-FFF2-40B4-BE49-F238E27FC236}">
              <a16:creationId xmlns:a16="http://schemas.microsoft.com/office/drawing/2014/main" id="{1FBBCAE7-3BF9-43FD-8E10-2CE3B8596FC2}"/>
            </a:ext>
          </a:extLst>
        </xdr:cNvPr>
        <xdr:cNvSpPr txBox="1"/>
      </xdr:nvSpPr>
      <xdr:spPr>
        <a:xfrm>
          <a:off x="5465379" y="1991825"/>
          <a:ext cx="5399690" cy="359865"/>
        </a:xfrm>
        <a:prstGeom prst="rect">
          <a:avLst/>
        </a:prstGeom>
        <a:solidFill>
          <a:srgbClr val="162109"/>
        </a:solid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800" b="1">
              <a:solidFill>
                <a:schemeClr val="bg1"/>
              </a:solidFill>
              <a:effectLst/>
            </a:rPr>
            <a:t>Water</a:t>
          </a:r>
          <a:r>
            <a:rPr lang="en-IN" sz="1800" b="1" baseline="0">
              <a:solidFill>
                <a:schemeClr val="bg1"/>
              </a:solidFill>
              <a:effectLst/>
            </a:rPr>
            <a:t> Management</a:t>
          </a:r>
          <a:endParaRPr lang="en-IN" sz="1800" b="1">
            <a:solidFill>
              <a:schemeClr val="bg1"/>
            </a:solidFill>
            <a:effectLst/>
          </a:endParaRPr>
        </a:p>
        <a:p>
          <a:endParaRPr lang="en-IN" sz="1100" b="1">
            <a:solidFill>
              <a:schemeClr val="bg1"/>
            </a:solidFill>
          </a:endParaRPr>
        </a:p>
      </xdr:txBody>
    </xdr:sp>
    <xdr:clientData/>
  </xdr:oneCellAnchor>
  <xdr:twoCellAnchor>
    <xdr:from>
      <xdr:col>18</xdr:col>
      <xdr:colOff>210206</xdr:colOff>
      <xdr:row>13</xdr:row>
      <xdr:rowOff>97297</xdr:rowOff>
    </xdr:from>
    <xdr:to>
      <xdr:col>22</xdr:col>
      <xdr:colOff>63404</xdr:colOff>
      <xdr:row>24</xdr:row>
      <xdr:rowOff>144517</xdr:rowOff>
    </xdr:to>
    <xdr:graphicFrame macro="">
      <xdr:nvGraphicFramePr>
        <xdr:cNvPr id="27" name="SCOPE 123, 24-25">
          <a:extLst>
            <a:ext uri="{FF2B5EF4-FFF2-40B4-BE49-F238E27FC236}">
              <a16:creationId xmlns:a16="http://schemas.microsoft.com/office/drawing/2014/main" id="{E6612BD4-F2BB-4641-AC76-14431EBE35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275897</xdr:colOff>
      <xdr:row>13</xdr:row>
      <xdr:rowOff>110436</xdr:rowOff>
    </xdr:from>
    <xdr:to>
      <xdr:col>26</xdr:col>
      <xdr:colOff>324639</xdr:colOff>
      <xdr:row>24</xdr:row>
      <xdr:rowOff>105103</xdr:rowOff>
    </xdr:to>
    <xdr:graphicFrame macro="">
      <xdr:nvGraphicFramePr>
        <xdr:cNvPr id="28" name="SCOPE 123, 25-26">
          <a:extLst>
            <a:ext uri="{FF2B5EF4-FFF2-40B4-BE49-F238E27FC236}">
              <a16:creationId xmlns:a16="http://schemas.microsoft.com/office/drawing/2014/main" id="{C9875473-6B04-40D0-9C7C-E57B8B8278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18</xdr:col>
      <xdr:colOff>26275</xdr:colOff>
      <xdr:row>9</xdr:row>
      <xdr:rowOff>32657</xdr:rowOff>
    </xdr:from>
    <xdr:ext cx="5427467" cy="269516"/>
    <xdr:sp macro="" textlink="">
      <xdr:nvSpPr>
        <xdr:cNvPr id="29" name="TextBox 28">
          <a:extLst>
            <a:ext uri="{FF2B5EF4-FFF2-40B4-BE49-F238E27FC236}">
              <a16:creationId xmlns:a16="http://schemas.microsoft.com/office/drawing/2014/main" id="{424C7911-0900-40CC-AC4E-80EC1CB762E2}"/>
            </a:ext>
          </a:extLst>
        </xdr:cNvPr>
        <xdr:cNvSpPr txBox="1"/>
      </xdr:nvSpPr>
      <xdr:spPr>
        <a:xfrm>
          <a:off x="10999075" y="2362200"/>
          <a:ext cx="5427467" cy="269516"/>
        </a:xfrm>
        <a:prstGeom prst="rect">
          <a:avLst/>
        </a:prstGeom>
        <a:solidFill>
          <a:srgbClr val="001E00"/>
        </a:solid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800" b="1">
              <a:solidFill>
                <a:schemeClr val="bg1"/>
              </a:solidFill>
              <a:effectLst/>
            </a:rPr>
            <a:t>Scope</a:t>
          </a:r>
          <a:r>
            <a:rPr lang="en-IN" sz="1800" b="1" baseline="0">
              <a:solidFill>
                <a:schemeClr val="bg1"/>
              </a:solidFill>
              <a:effectLst/>
            </a:rPr>
            <a:t> 1, 2 and 3 Emissions</a:t>
          </a:r>
          <a:endParaRPr lang="en-IN" sz="1800" b="1">
            <a:solidFill>
              <a:schemeClr val="bg1"/>
            </a:solidFill>
            <a:effectLst/>
          </a:endParaRPr>
        </a:p>
        <a:p>
          <a:endParaRPr lang="en-IN" sz="1100">
            <a:solidFill>
              <a:schemeClr val="bg1"/>
            </a:solidFill>
          </a:endParaRPr>
        </a:p>
      </xdr:txBody>
    </xdr:sp>
    <xdr:clientData/>
  </xdr:oneCellAnchor>
  <xdr:twoCellAnchor>
    <xdr:from>
      <xdr:col>0</xdr:col>
      <xdr:colOff>39414</xdr:colOff>
      <xdr:row>25</xdr:row>
      <xdr:rowOff>197068</xdr:rowOff>
    </xdr:from>
    <xdr:to>
      <xdr:col>9</xdr:col>
      <xdr:colOff>13138</xdr:colOff>
      <xdr:row>41</xdr:row>
      <xdr:rowOff>78827</xdr:rowOff>
    </xdr:to>
    <xdr:graphicFrame macro="">
      <xdr:nvGraphicFramePr>
        <xdr:cNvPr id="30" name="Chart 29">
          <a:extLst>
            <a:ext uri="{FF2B5EF4-FFF2-40B4-BE49-F238E27FC236}">
              <a16:creationId xmlns:a16="http://schemas.microsoft.com/office/drawing/2014/main" id="{432A315F-A92B-4D80-B81A-32A9B245D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13138</xdr:colOff>
      <xdr:row>25</xdr:row>
      <xdr:rowOff>197068</xdr:rowOff>
    </xdr:from>
    <xdr:to>
      <xdr:col>18</xdr:col>
      <xdr:colOff>11426</xdr:colOff>
      <xdr:row>41</xdr:row>
      <xdr:rowOff>91965</xdr:rowOff>
    </xdr:to>
    <xdr:graphicFrame macro="">
      <xdr:nvGraphicFramePr>
        <xdr:cNvPr id="31" name="Chart 30">
          <a:extLst>
            <a:ext uri="{FF2B5EF4-FFF2-40B4-BE49-F238E27FC236}">
              <a16:creationId xmlns:a16="http://schemas.microsoft.com/office/drawing/2014/main" id="{620395D9-90AB-4DB5-BB72-13B2D00A0A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26277</xdr:colOff>
      <xdr:row>25</xdr:row>
      <xdr:rowOff>189448</xdr:rowOff>
    </xdr:from>
    <xdr:to>
      <xdr:col>26</xdr:col>
      <xdr:colOff>578068</xdr:colOff>
      <xdr:row>41</xdr:row>
      <xdr:rowOff>78827</xdr:rowOff>
    </xdr:to>
    <xdr:graphicFrame macro="">
      <xdr:nvGraphicFramePr>
        <xdr:cNvPr id="32" name="Chart 31">
          <a:extLst>
            <a:ext uri="{FF2B5EF4-FFF2-40B4-BE49-F238E27FC236}">
              <a16:creationId xmlns:a16="http://schemas.microsoft.com/office/drawing/2014/main" id="{77BF3ACB-7E52-4DEF-9913-F0726CB9B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0</xdr:col>
      <xdr:colOff>39414</xdr:colOff>
      <xdr:row>25</xdr:row>
      <xdr:rowOff>165652</xdr:rowOff>
    </xdr:from>
    <xdr:ext cx="5436100" cy="504382"/>
    <xdr:sp macro="" textlink="">
      <xdr:nvSpPr>
        <xdr:cNvPr id="34" name="TextBox 33">
          <a:extLst>
            <a:ext uri="{FF2B5EF4-FFF2-40B4-BE49-F238E27FC236}">
              <a16:creationId xmlns:a16="http://schemas.microsoft.com/office/drawing/2014/main" id="{E185BCF0-98BC-450E-8811-74473F18C98E}"/>
            </a:ext>
          </a:extLst>
        </xdr:cNvPr>
        <xdr:cNvSpPr txBox="1"/>
      </xdr:nvSpPr>
      <xdr:spPr>
        <a:xfrm>
          <a:off x="39414" y="5456109"/>
          <a:ext cx="5436100" cy="504382"/>
        </a:xfrm>
        <a:prstGeom prst="rect">
          <a:avLst/>
        </a:prstGeom>
        <a:solidFill>
          <a:srgbClr val="273C10"/>
        </a:solid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2000" b="1" baseline="0">
              <a:solidFill>
                <a:schemeClr val="bg1"/>
              </a:solidFill>
              <a:effectLst/>
            </a:rPr>
            <a:t>Air Emissions Management</a:t>
          </a:r>
          <a:endParaRPr lang="en-IN" sz="2000" b="1">
            <a:solidFill>
              <a:schemeClr val="bg1"/>
            </a:solidFill>
            <a:effectLst/>
          </a:endParaRPr>
        </a:p>
        <a:p>
          <a:endParaRPr lang="en-IN" sz="1100"/>
        </a:p>
      </xdr:txBody>
    </xdr:sp>
    <xdr:clientData/>
  </xdr:oneCellAnchor>
  <xdr:oneCellAnchor>
    <xdr:from>
      <xdr:col>9</xdr:col>
      <xdr:colOff>39415</xdr:colOff>
      <xdr:row>25</xdr:row>
      <xdr:rowOff>170793</xdr:rowOff>
    </xdr:from>
    <xdr:ext cx="5399690" cy="472966"/>
    <xdr:sp macro="" textlink="">
      <xdr:nvSpPr>
        <xdr:cNvPr id="35" name="TextBox 34">
          <a:extLst>
            <a:ext uri="{FF2B5EF4-FFF2-40B4-BE49-F238E27FC236}">
              <a16:creationId xmlns:a16="http://schemas.microsoft.com/office/drawing/2014/main" id="{7F07564C-4383-4976-90FA-3C17D26A1862}"/>
            </a:ext>
          </a:extLst>
        </xdr:cNvPr>
        <xdr:cNvSpPr txBox="1"/>
      </xdr:nvSpPr>
      <xdr:spPr>
        <a:xfrm>
          <a:off x="5478518" y="5123793"/>
          <a:ext cx="5399690" cy="472966"/>
        </a:xfrm>
        <a:prstGeom prst="rect">
          <a:avLst/>
        </a:prstGeom>
        <a:solidFill>
          <a:srgbClr val="273C10"/>
        </a:solid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2000" b="1" baseline="0">
              <a:solidFill>
                <a:schemeClr val="bg1"/>
              </a:solidFill>
              <a:effectLst/>
            </a:rPr>
            <a:t>Energy Management</a:t>
          </a:r>
          <a:endParaRPr lang="en-IN" sz="2000" b="1">
            <a:solidFill>
              <a:schemeClr val="bg1"/>
            </a:solidFill>
            <a:effectLst/>
          </a:endParaRPr>
        </a:p>
        <a:p>
          <a:endParaRPr lang="en-IN" sz="1200" b="1">
            <a:solidFill>
              <a:schemeClr val="bg1"/>
            </a:solidFill>
          </a:endParaRPr>
        </a:p>
      </xdr:txBody>
    </xdr:sp>
    <xdr:clientData/>
  </xdr:oneCellAnchor>
  <xdr:oneCellAnchor>
    <xdr:from>
      <xdr:col>18</xdr:col>
      <xdr:colOff>52552</xdr:colOff>
      <xdr:row>26</xdr:row>
      <xdr:rowOff>0</xdr:rowOff>
    </xdr:from>
    <xdr:ext cx="5347137" cy="446690"/>
    <xdr:sp macro="" textlink="">
      <xdr:nvSpPr>
        <xdr:cNvPr id="36" name="TextBox 35">
          <a:extLst>
            <a:ext uri="{FF2B5EF4-FFF2-40B4-BE49-F238E27FC236}">
              <a16:creationId xmlns:a16="http://schemas.microsoft.com/office/drawing/2014/main" id="{5D79A36C-7A87-4EA4-BC0D-DCB955F2DA71}"/>
            </a:ext>
          </a:extLst>
        </xdr:cNvPr>
        <xdr:cNvSpPr txBox="1"/>
      </xdr:nvSpPr>
      <xdr:spPr>
        <a:xfrm>
          <a:off x="10930759" y="5150069"/>
          <a:ext cx="5347137" cy="446690"/>
        </a:xfrm>
        <a:prstGeom prst="rect">
          <a:avLst/>
        </a:prstGeom>
        <a:solidFill>
          <a:srgbClr val="273C10"/>
        </a:solid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2000" b="1">
              <a:solidFill>
                <a:schemeClr val="bg1"/>
              </a:solidFill>
              <a:effectLst/>
            </a:rPr>
            <a:t>GHG</a:t>
          </a:r>
          <a:r>
            <a:rPr lang="en-IN" sz="2000" b="1" baseline="0">
              <a:solidFill>
                <a:schemeClr val="bg1"/>
              </a:solidFill>
              <a:effectLst/>
            </a:rPr>
            <a:t> Emissions</a:t>
          </a:r>
          <a:endParaRPr lang="en-IN" sz="1200" b="1">
            <a:solidFill>
              <a:schemeClr val="bg1"/>
            </a:solidFill>
          </a:endParaRPr>
        </a:p>
      </xdr:txBody>
    </xdr:sp>
    <xdr:clientData/>
  </xdr:oneCellAnchor>
  <xdr:twoCellAnchor editAs="oneCell">
    <xdr:from>
      <xdr:col>23</xdr:col>
      <xdr:colOff>538644</xdr:colOff>
      <xdr:row>3</xdr:row>
      <xdr:rowOff>48638</xdr:rowOff>
    </xdr:from>
    <xdr:to>
      <xdr:col>26</xdr:col>
      <xdr:colOff>591196</xdr:colOff>
      <xdr:row>8</xdr:row>
      <xdr:rowOff>131380</xdr:rowOff>
    </xdr:to>
    <mc:AlternateContent xmlns:mc="http://schemas.openxmlformats.org/markup-compatibility/2006" xmlns:a14="http://schemas.microsoft.com/office/drawing/2010/main">
      <mc:Choice Requires="a14">
        <xdr:graphicFrame macro="">
          <xdr:nvGraphicFramePr>
            <xdr:cNvPr id="37" name="Year 1">
              <a:extLst>
                <a:ext uri="{FF2B5EF4-FFF2-40B4-BE49-F238E27FC236}">
                  <a16:creationId xmlns:a16="http://schemas.microsoft.com/office/drawing/2014/main" id="{1B45A7E2-3591-43EE-A583-A0D6841F321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4708601" y="875489"/>
              <a:ext cx="1900808" cy="14284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7122</xdr:colOff>
      <xdr:row>0</xdr:row>
      <xdr:rowOff>1</xdr:rowOff>
    </xdr:from>
    <xdr:to>
      <xdr:col>2</xdr:col>
      <xdr:colOff>398804</xdr:colOff>
      <xdr:row>2</xdr:row>
      <xdr:rowOff>135310</xdr:rowOff>
    </xdr:to>
    <xdr:pic>
      <xdr:nvPicPr>
        <xdr:cNvPr id="3" name="Picture 2">
          <a:extLst>
            <a:ext uri="{FF2B5EF4-FFF2-40B4-BE49-F238E27FC236}">
              <a16:creationId xmlns:a16="http://schemas.microsoft.com/office/drawing/2014/main" id="{3BA0D6FC-F7DA-C138-5A55-147CFE29917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122" y="1"/>
          <a:ext cx="1616579" cy="776244"/>
        </a:xfrm>
        <a:prstGeom prst="rect">
          <a:avLst/>
        </a:prstGeom>
      </xdr:spPr>
    </xdr:pic>
    <xdr:clientData/>
  </xdr:twoCellAnchor>
  <xdr:twoCellAnchor>
    <xdr:from>
      <xdr:col>0</xdr:col>
      <xdr:colOff>16213</xdr:colOff>
      <xdr:row>41</xdr:row>
      <xdr:rowOff>81063</xdr:rowOff>
    </xdr:from>
    <xdr:to>
      <xdr:col>26</xdr:col>
      <xdr:colOff>583659</xdr:colOff>
      <xdr:row>46</xdr:row>
      <xdr:rowOff>64851</xdr:rowOff>
    </xdr:to>
    <xdr:sp macro="" textlink="">
      <xdr:nvSpPr>
        <xdr:cNvPr id="4" name="TextBox 3">
          <a:extLst>
            <a:ext uri="{FF2B5EF4-FFF2-40B4-BE49-F238E27FC236}">
              <a16:creationId xmlns:a16="http://schemas.microsoft.com/office/drawing/2014/main" id="{00841C21-79EC-3DFA-0F08-AF0770DE94F8}"/>
            </a:ext>
          </a:extLst>
        </xdr:cNvPr>
        <xdr:cNvSpPr txBox="1"/>
      </xdr:nvSpPr>
      <xdr:spPr>
        <a:xfrm>
          <a:off x="16213" y="8171233"/>
          <a:ext cx="16585659" cy="875490"/>
        </a:xfrm>
        <a:prstGeom prst="rect">
          <a:avLst/>
        </a:prstGeom>
        <a:solidFill>
          <a:srgbClr val="92D050"/>
        </a:solidFill>
        <a:ln w="381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KEY POINTS</a:t>
          </a:r>
          <a:endParaRPr lang="en-IN"/>
        </a:p>
        <a:p>
          <a:r>
            <a:rPr lang="en-IN"/>
            <a:t>• </a:t>
          </a:r>
          <a:r>
            <a:rPr lang="en-IN" b="1"/>
            <a:t>SOₓ emissions decreased by 25.6% year-over-year, demonstrating significant progress in emission reduction initiatives.</a:t>
          </a:r>
          <a:endParaRPr lang="en-IN"/>
        </a:p>
        <a:p>
          <a:r>
            <a:rPr lang="en-IN"/>
            <a:t>• </a:t>
          </a:r>
          <a:r>
            <a:rPr lang="en-IN" b="1"/>
            <a:t>Total water consumption increased by 4.8% compared to the previous year, indicating the need for continued focus on water efficiency.</a:t>
          </a:r>
          <a:endParaRPr lang="en-IN"/>
        </a:p>
        <a:p>
          <a:r>
            <a:rPr lang="en-IN"/>
            <a:t>• </a:t>
          </a:r>
          <a:r>
            <a:rPr lang="en-IN" b="1"/>
            <a:t>The company's ESG performance reflects a strong commitment to sustainable operations through improved environmental management and resource optimization.                                                       </a:t>
          </a:r>
          <a:endParaRPr lang="en-IN"/>
        </a:p>
        <a:p>
          <a:endParaRPr lang="en-IN" sz="1100"/>
        </a:p>
      </xdr:txBody>
    </xdr:sp>
    <xdr:clientData/>
  </xdr:twoCellAnchor>
  <xdr:twoCellAnchor>
    <xdr:from>
      <xdr:col>24</xdr:col>
      <xdr:colOff>162128</xdr:colOff>
      <xdr:row>0</xdr:row>
      <xdr:rowOff>1</xdr:rowOff>
    </xdr:from>
    <xdr:to>
      <xdr:col>27</xdr:col>
      <xdr:colOff>35002</xdr:colOff>
      <xdr:row>2</xdr:row>
      <xdr:rowOff>162128</xdr:rowOff>
    </xdr:to>
    <xdr:pic>
      <xdr:nvPicPr>
        <xdr:cNvPr id="5" name="Picture 4">
          <a:extLst>
            <a:ext uri="{FF2B5EF4-FFF2-40B4-BE49-F238E27FC236}">
              <a16:creationId xmlns:a16="http://schemas.microsoft.com/office/drawing/2014/main" id="{690D18FE-9EAA-41D2-BC5D-4E8C8F0BC40F}"/>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4948171" y="1"/>
          <a:ext cx="1721129" cy="810638"/>
        </a:xfrm>
        <a:prstGeom prst="rect">
          <a:avLst/>
        </a:prstGeom>
      </xdr:spPr>
    </xdr:pic>
    <xdr:clientData/>
  </xdr:twoCellAnchor>
  <xdr:twoCellAnchor>
    <xdr:from>
      <xdr:col>18</xdr:col>
      <xdr:colOff>81064</xdr:colOff>
      <xdr:row>41</xdr:row>
      <xdr:rowOff>81064</xdr:rowOff>
    </xdr:from>
    <xdr:to>
      <xdr:col>26</xdr:col>
      <xdr:colOff>551234</xdr:colOff>
      <xdr:row>46</xdr:row>
      <xdr:rowOff>64851</xdr:rowOff>
    </xdr:to>
    <xdr:sp macro="" textlink="">
      <xdr:nvSpPr>
        <xdr:cNvPr id="6" name="TextBox 5">
          <a:extLst>
            <a:ext uri="{FF2B5EF4-FFF2-40B4-BE49-F238E27FC236}">
              <a16:creationId xmlns:a16="http://schemas.microsoft.com/office/drawing/2014/main" id="{42C30E5E-E195-55F8-6412-8F3DE8ABBAAF}"/>
            </a:ext>
          </a:extLst>
        </xdr:cNvPr>
        <xdr:cNvSpPr txBox="1"/>
      </xdr:nvSpPr>
      <xdr:spPr>
        <a:xfrm>
          <a:off x="11170596" y="8171234"/>
          <a:ext cx="5398851" cy="875489"/>
        </a:xfrm>
        <a:prstGeom prst="rect">
          <a:avLst/>
        </a:prstGeom>
        <a:solidFill>
          <a:srgbClr val="083213"/>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b="0">
              <a:solidFill>
                <a:schemeClr val="bg1"/>
              </a:solidFill>
            </a:rPr>
            <a:t>About this Dashboard</a:t>
          </a:r>
        </a:p>
        <a:p>
          <a:pPr algn="r"/>
          <a:r>
            <a:rPr lang="en-IN" b="0">
              <a:solidFill>
                <a:schemeClr val="bg1"/>
              </a:solidFill>
            </a:rPr>
            <a:t>• ESG Performance Summary</a:t>
          </a:r>
          <a:br>
            <a:rPr lang="en-IN" b="0">
              <a:solidFill>
                <a:schemeClr val="bg1"/>
              </a:solidFill>
            </a:rPr>
          </a:br>
          <a:r>
            <a:rPr lang="en-IN" b="0">
              <a:solidFill>
                <a:schemeClr val="bg1"/>
              </a:solidFill>
            </a:rPr>
            <a:t>• FY2024–25 vs FY2025–26 Comparison</a:t>
          </a:r>
          <a:br>
            <a:rPr lang="en-IN" b="0">
              <a:solidFill>
                <a:schemeClr val="bg1"/>
              </a:solidFill>
            </a:rPr>
          </a:br>
          <a:r>
            <a:rPr lang="en-IN" b="0">
              <a:solidFill>
                <a:schemeClr val="bg1"/>
              </a:solidFill>
            </a:rPr>
            <a:t>• Key Sustainability Insights</a:t>
          </a:r>
        </a:p>
        <a:p>
          <a:endParaRPr lang="en-IN" sz="11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0.02415</cdr:x>
      <cdr:y>0</cdr:y>
    </cdr:from>
    <cdr:to>
      <cdr:x>0.97343</cdr:x>
      <cdr:y>0.22142</cdr:y>
    </cdr:to>
    <cdr:sp macro="" textlink="">
      <cdr:nvSpPr>
        <cdr:cNvPr id="2" name="TextBox 1">
          <a:extLst xmlns:a="http://schemas.openxmlformats.org/drawingml/2006/main">
            <a:ext uri="{FF2B5EF4-FFF2-40B4-BE49-F238E27FC236}">
              <a16:creationId xmlns:a16="http://schemas.microsoft.com/office/drawing/2014/main" id="{4DB32BAD-D0B9-1208-0D8F-BC41D3B6756B}"/>
            </a:ext>
          </a:extLst>
        </cdr:cNvPr>
        <cdr:cNvSpPr txBox="1"/>
      </cdr:nvSpPr>
      <cdr:spPr>
        <a:xfrm xmlns:a="http://schemas.openxmlformats.org/drawingml/2006/main">
          <a:off x="110434" y="0"/>
          <a:ext cx="4340087" cy="60739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drawings/drawing3.xml><?xml version="1.0" encoding="utf-8"?>
<xdr:wsDr xmlns:xdr="http://schemas.openxmlformats.org/drawingml/2006/spreadsheetDrawing" xmlns:a="http://schemas.openxmlformats.org/drawingml/2006/main">
  <xdr:twoCellAnchor>
    <xdr:from>
      <xdr:col>4</xdr:col>
      <xdr:colOff>114300</xdr:colOff>
      <xdr:row>0</xdr:row>
      <xdr:rowOff>0</xdr:rowOff>
    </xdr:from>
    <xdr:to>
      <xdr:col>11</xdr:col>
      <xdr:colOff>289560</xdr:colOff>
      <xdr:row>15</xdr:row>
      <xdr:rowOff>0</xdr:rowOff>
    </xdr:to>
    <xdr:graphicFrame macro="">
      <xdr:nvGraphicFramePr>
        <xdr:cNvPr id="2" name="AIR EMISSION">
          <a:extLst>
            <a:ext uri="{FF2B5EF4-FFF2-40B4-BE49-F238E27FC236}">
              <a16:creationId xmlns:a16="http://schemas.microsoft.com/office/drawing/2014/main" id="{F230495C-9C99-9C17-BA4B-260C9012EF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121920</xdr:colOff>
      <xdr:row>17</xdr:row>
      <xdr:rowOff>15240</xdr:rowOff>
    </xdr:from>
    <xdr:to>
      <xdr:col>11</xdr:col>
      <xdr:colOff>297180</xdr:colOff>
      <xdr:row>32</xdr:row>
      <xdr:rowOff>15240</xdr:rowOff>
    </xdr:to>
    <xdr:graphicFrame macro="">
      <xdr:nvGraphicFramePr>
        <xdr:cNvPr id="3" name="ENERGY">
          <a:extLst>
            <a:ext uri="{FF2B5EF4-FFF2-40B4-BE49-F238E27FC236}">
              <a16:creationId xmlns:a16="http://schemas.microsoft.com/office/drawing/2014/main" id="{11A9AA72-6E23-28C8-88F0-B31023444A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152400</xdr:colOff>
      <xdr:row>33</xdr:row>
      <xdr:rowOff>175260</xdr:rowOff>
    </xdr:from>
    <xdr:to>
      <xdr:col>11</xdr:col>
      <xdr:colOff>327660</xdr:colOff>
      <xdr:row>48</xdr:row>
      <xdr:rowOff>175260</xdr:rowOff>
    </xdr:to>
    <xdr:graphicFrame macro="">
      <xdr:nvGraphicFramePr>
        <xdr:cNvPr id="4" name="GHG">
          <a:extLst>
            <a:ext uri="{FF2B5EF4-FFF2-40B4-BE49-F238E27FC236}">
              <a16:creationId xmlns:a16="http://schemas.microsoft.com/office/drawing/2014/main" id="{2D5B8328-B18C-6E8E-F9E3-714A201EBB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144780</xdr:colOff>
      <xdr:row>52</xdr:row>
      <xdr:rowOff>15240</xdr:rowOff>
    </xdr:from>
    <xdr:to>
      <xdr:col>11</xdr:col>
      <xdr:colOff>320040</xdr:colOff>
      <xdr:row>67</xdr:row>
      <xdr:rowOff>15240</xdr:rowOff>
    </xdr:to>
    <xdr:graphicFrame macro="">
      <xdr:nvGraphicFramePr>
        <xdr:cNvPr id="5" name="WASTE">
          <a:extLst>
            <a:ext uri="{FF2B5EF4-FFF2-40B4-BE49-F238E27FC236}">
              <a16:creationId xmlns:a16="http://schemas.microsoft.com/office/drawing/2014/main" id="{E86642AF-4927-C643-E5E6-35D7A6BAB3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160020</xdr:colOff>
      <xdr:row>69</xdr:row>
      <xdr:rowOff>7620</xdr:rowOff>
    </xdr:from>
    <xdr:to>
      <xdr:col>11</xdr:col>
      <xdr:colOff>335280</xdr:colOff>
      <xdr:row>84</xdr:row>
      <xdr:rowOff>7620</xdr:rowOff>
    </xdr:to>
    <xdr:graphicFrame macro="">
      <xdr:nvGraphicFramePr>
        <xdr:cNvPr id="6" name="WATER">
          <a:extLst>
            <a:ext uri="{FF2B5EF4-FFF2-40B4-BE49-F238E27FC236}">
              <a16:creationId xmlns:a16="http://schemas.microsoft.com/office/drawing/2014/main" id="{6C59E68D-3CFA-642F-FB2F-4C5B5DDCD3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190500</xdr:colOff>
      <xdr:row>86</xdr:row>
      <xdr:rowOff>7620</xdr:rowOff>
    </xdr:from>
    <xdr:to>
      <xdr:col>11</xdr:col>
      <xdr:colOff>365760</xdr:colOff>
      <xdr:row>101</xdr:row>
      <xdr:rowOff>7620</xdr:rowOff>
    </xdr:to>
    <xdr:graphicFrame macro="">
      <xdr:nvGraphicFramePr>
        <xdr:cNvPr id="7" name="Chart 6">
          <a:extLst>
            <a:ext uri="{FF2B5EF4-FFF2-40B4-BE49-F238E27FC236}">
              <a16:creationId xmlns:a16="http://schemas.microsoft.com/office/drawing/2014/main" id="{588FCC67-F1C7-689B-8AF3-98B16CFDD7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220980</xdr:colOff>
      <xdr:row>82</xdr:row>
      <xdr:rowOff>91440</xdr:rowOff>
    </xdr:from>
    <xdr:to>
      <xdr:col>23</xdr:col>
      <xdr:colOff>525780</xdr:colOff>
      <xdr:row>97</xdr:row>
      <xdr:rowOff>91440</xdr:rowOff>
    </xdr:to>
    <xdr:graphicFrame macro="">
      <xdr:nvGraphicFramePr>
        <xdr:cNvPr id="8" name="Chart 7">
          <a:extLst>
            <a:ext uri="{FF2B5EF4-FFF2-40B4-BE49-F238E27FC236}">
              <a16:creationId xmlns:a16="http://schemas.microsoft.com/office/drawing/2014/main" id="{789989CC-7B1F-9E2D-5A0D-2AF14103B7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12</xdr:col>
      <xdr:colOff>198120</xdr:colOff>
      <xdr:row>53</xdr:row>
      <xdr:rowOff>91441</xdr:rowOff>
    </xdr:from>
    <xdr:to>
      <xdr:col>13</xdr:col>
      <xdr:colOff>944880</xdr:colOff>
      <xdr:row>59</xdr:row>
      <xdr:rowOff>83821</xdr:rowOff>
    </xdr:to>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id="{9E78B712-3559-81CA-DDBD-E6F1A483718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639300" y="9784081"/>
              <a:ext cx="1828800" cy="1089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129540</xdr:colOff>
      <xdr:row>53</xdr:row>
      <xdr:rowOff>0</xdr:rowOff>
    </xdr:from>
    <xdr:to>
      <xdr:col>17</xdr:col>
      <xdr:colOff>0</xdr:colOff>
      <xdr:row>66</xdr:row>
      <xdr:rowOff>89535</xdr:rowOff>
    </xdr:to>
    <mc:AlternateContent xmlns:mc="http://schemas.openxmlformats.org/markup-compatibility/2006" xmlns:a14="http://schemas.microsoft.com/office/drawing/2010/main">
      <mc:Choice Requires="a14">
        <xdr:graphicFrame macro="">
          <xdr:nvGraphicFramePr>
            <xdr:cNvPr id="12" name="KPI Category">
              <a:extLst>
                <a:ext uri="{FF2B5EF4-FFF2-40B4-BE49-F238E27FC236}">
                  <a16:creationId xmlns:a16="http://schemas.microsoft.com/office/drawing/2014/main" id="{CB6AEE0A-D335-4FC8-8160-311B43B35DB4}"/>
                </a:ext>
              </a:extLst>
            </xdr:cNvPr>
            <xdr:cNvGraphicFramePr/>
          </xdr:nvGraphicFramePr>
          <xdr:xfrm>
            <a:off x="0" y="0"/>
            <a:ext cx="0" cy="0"/>
          </xdr:xfrm>
          <a:graphic>
            <a:graphicData uri="http://schemas.microsoft.com/office/drawing/2010/slicer">
              <sle:slicer xmlns:sle="http://schemas.microsoft.com/office/drawing/2010/slicer" name="KPI Category"/>
            </a:graphicData>
          </a:graphic>
        </xdr:graphicFrame>
      </mc:Choice>
      <mc:Fallback xmlns="">
        <xdr:sp macro="" textlink="">
          <xdr:nvSpPr>
            <xdr:cNvPr id="0" name=""/>
            <xdr:cNvSpPr>
              <a:spLocks noTextEdit="1"/>
            </xdr:cNvSpPr>
          </xdr:nvSpPr>
          <xdr:spPr>
            <a:xfrm>
              <a:off x="11719560" y="9692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anth R" refreshedDate="46206.836140509258" createdVersion="8" refreshedVersion="8" minRefreshableVersion="3" recordCount="91" xr:uid="{08CFF777-DE04-4FC1-8154-1FD3B5160A86}">
  <cacheSource type="worksheet">
    <worksheetSource ref="A1:G1048576" sheet="DASHBOARD_DATA"/>
  </cacheSource>
  <cacheFields count="7">
    <cacheField name="KPI Category" numFmtId="0">
      <sharedItems containsBlank="1" count="18">
        <s v="Air Emissions"/>
        <s v="Energy"/>
        <s v="ESG Ratings"/>
        <s v="GHG"/>
        <s v="Packaging"/>
        <s v="Waste"/>
        <s v="Water"/>
        <m/>
        <s v="Chart Helper: GHG Scope Split (kt CO2e)"/>
        <s v="Scope"/>
        <s v="Scope 1 Emissions"/>
        <s v="Scope 2 Emissions"/>
        <s v="Scope 3 Emissions"/>
        <s v="Chart Helper: Waste Recovery (kt)"/>
        <s v="Metric"/>
        <s v="Total Waste Generated"/>
        <s v="Waste Recycled"/>
        <s v="Waste Recycled %"/>
      </sharedItems>
    </cacheField>
    <cacheField name="Sub Category" numFmtId="0">
      <sharedItems containsBlank="1" containsMixedTypes="1" containsNumber="1" minValue="0.9944598337950139" maxValue="1101"/>
    </cacheField>
    <cacheField name="KPI" numFmtId="0">
      <sharedItems containsBlank="1" containsMixedTypes="1" containsNumber="1" minValue="0.98890429958391124" maxValue="1442" count="47">
        <s v="Hazardous Air Pollutants"/>
        <s v="NOx Emissions"/>
        <s v="Particulate Matter"/>
        <s v="SOx Emissions"/>
        <s v="Non-Renewable Electricity"/>
        <s v="Non-Renewable Fuel"/>
        <s v="Total Non-Renewable Energy"/>
        <s v="Total Energy Consumed"/>
        <s v="Other Renewable Energy"/>
        <s v="Renewable Electricity Consumption"/>
        <s v="Renewable Fuel Consumption"/>
        <s v="Total Renewable Energy"/>
        <s v="CDP Climate Rating"/>
        <s v="CDP Forest Rating"/>
        <s v="CDP Water Rating"/>
        <s v="Dow Jones Best-in-Class Emerging Markets Index"/>
        <s v="MSCI ESG Rating"/>
        <s v="GHG Intensity (FBD)"/>
        <s v="GHG Intensity (PPP)"/>
        <s v="GHG Intensity (PSPD)"/>
        <s v="GHG Intensity per Revenue"/>
        <s v="Scope 3 Emissions per Rupee of Turnover"/>
        <s v="Scope 1 Emissions"/>
        <s v="Scope 2 Emissions"/>
        <s v="Recycled Plastic Used in Packaging"/>
        <s v="Waste Paper Used"/>
        <s v="Battery Waste"/>
        <s v="Bio-medical Waste"/>
        <s v="Construction &amp; Demolition Waste"/>
        <s v="E-waste"/>
        <s v="Other Hazardous Waste"/>
        <s v="Plastic Waste"/>
        <s v="Radioactive Waste"/>
        <s v="Total Water Consumption"/>
        <s v="Water Intensity"/>
        <s v="Total Water Withdrawal"/>
        <s v="Scope 3 Emissions"/>
        <s v="Other Non-Hazardous Waste"/>
        <s v="Waste Recycled"/>
        <m/>
        <s v="FY2025-26"/>
        <n v="1045"/>
        <n v="151"/>
        <n v="1442"/>
        <n v="721"/>
        <n v="713"/>
        <n v="0.98890429958391124"/>
      </sharedItems>
    </cacheField>
    <cacheField name="Unit" numFmtId="0">
      <sharedItems containsBlank="1"/>
    </cacheField>
    <cacheField name="Source Page" numFmtId="0">
      <sharedItems containsString="0" containsBlank="1" containsNumber="1" containsInteger="1" minValue="367" maxValue="395"/>
    </cacheField>
    <cacheField name="Year" numFmtId="0">
      <sharedItems containsBlank="1" count="3">
        <s v="FY2025-26"/>
        <s v="FY2024-25"/>
        <m/>
      </sharedItems>
    </cacheField>
    <cacheField name="Value" numFmtId="0">
      <sharedItems containsBlank="1" containsMixedTypes="1" containsNumber="1" minValue="0" maxValue="93000"/>
    </cacheField>
  </cacheFields>
  <extLst>
    <ext xmlns:x14="http://schemas.microsoft.com/office/spreadsheetml/2009/9/main" uri="{725AE2AE-9491-48be-B2B4-4EB974FC3084}">
      <x14:pivotCacheDefinition pivotCacheId="160677783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anth R" refreshedDate="46206.836141435182" createdVersion="8" refreshedVersion="8" minRefreshableVersion="3" recordCount="91" xr:uid="{03B199AB-ECC4-4D31-82A3-77AC6C3AD3C7}">
  <cacheSource type="worksheet">
    <worksheetSource ref="A1:A1048576" sheet="DASHBOARD_DATA"/>
  </cacheSource>
  <cacheFields count="1">
    <cacheField name="KPI Category"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
  <r>
    <x v="0"/>
    <s v="HAP"/>
    <x v="0"/>
    <s v="Tonnes"/>
    <n v="384"/>
    <x v="0"/>
    <n v="6.9"/>
  </r>
  <r>
    <x v="0"/>
    <s v="NOx"/>
    <x v="1"/>
    <s v="Tonnes"/>
    <n v="384"/>
    <x v="0"/>
    <n v="2006"/>
  </r>
  <r>
    <x v="0"/>
    <s v="PM"/>
    <x v="2"/>
    <s v="Tonnes"/>
    <n v="384"/>
    <x v="0"/>
    <n v="594"/>
  </r>
  <r>
    <x v="0"/>
    <s v="SOx"/>
    <x v="3"/>
    <s v="Tonnes"/>
    <n v="384"/>
    <x v="0"/>
    <n v="1700"/>
  </r>
  <r>
    <x v="1"/>
    <s v="Non-Renewable"/>
    <x v="4"/>
    <s v="TJ"/>
    <n v="382"/>
    <x v="0"/>
    <n v="761"/>
  </r>
  <r>
    <x v="1"/>
    <s v="Non-Renewable"/>
    <x v="5"/>
    <s v="TJ"/>
    <n v="382"/>
    <x v="0"/>
    <n v="10930"/>
  </r>
  <r>
    <x v="1"/>
    <s v="Non-Renewable"/>
    <x v="6"/>
    <s v="TJ"/>
    <n v="382"/>
    <x v="0"/>
    <n v="11691"/>
  </r>
  <r>
    <x v="1"/>
    <s v="Overall"/>
    <x v="7"/>
    <s v="TJ"/>
    <n v="382"/>
    <x v="0"/>
    <n v="24025"/>
  </r>
  <r>
    <x v="1"/>
    <s v="Renewable"/>
    <x v="8"/>
    <s v="TJ"/>
    <n v="382"/>
    <x v="0"/>
    <n v="187"/>
  </r>
  <r>
    <x v="1"/>
    <s v="Renewable"/>
    <x v="9"/>
    <s v="TJ"/>
    <n v="382"/>
    <x v="0"/>
    <n v="964"/>
  </r>
  <r>
    <x v="1"/>
    <s v="Renewable"/>
    <x v="10"/>
    <s v="TJ"/>
    <n v="382"/>
    <x v="0"/>
    <n v="11182"/>
  </r>
  <r>
    <x v="1"/>
    <s v="Renewable"/>
    <x v="11"/>
    <s v="TJ"/>
    <n v="382"/>
    <x v="0"/>
    <n v="12334"/>
  </r>
  <r>
    <x v="2"/>
    <s v="CDP Climate"/>
    <x v="12"/>
    <s v="Rating"/>
    <n v="395"/>
    <x v="0"/>
    <s v="A-"/>
  </r>
  <r>
    <x v="2"/>
    <s v="CDP Forest"/>
    <x v="13"/>
    <s v="Rating"/>
    <n v="395"/>
    <x v="0"/>
    <s v="A List"/>
  </r>
  <r>
    <x v="2"/>
    <s v="CDP Water"/>
    <x v="14"/>
    <s v="Rating"/>
    <n v="395"/>
    <x v="0"/>
    <s v="A List"/>
  </r>
  <r>
    <x v="2"/>
    <s v="Dow Jones"/>
    <x v="15"/>
    <s v="Status"/>
    <n v="395"/>
    <x v="0"/>
    <s v="Included"/>
  </r>
  <r>
    <x v="2"/>
    <s v="MSCI"/>
    <x v="16"/>
    <s v="Rating"/>
    <n v="395"/>
    <x v="0"/>
    <s v="AA"/>
  </r>
  <r>
    <x v="3"/>
    <s v="Intensity"/>
    <x v="17"/>
    <s v="tCO₂e/Tonne"/>
    <n v="385"/>
    <x v="0"/>
    <n v="0.16"/>
  </r>
  <r>
    <x v="3"/>
    <s v="Intensity"/>
    <x v="18"/>
    <s v="tCO₂e/Million USD"/>
    <n v="385"/>
    <x v="0"/>
    <n v="29.8"/>
  </r>
  <r>
    <x v="3"/>
    <s v="Intensity"/>
    <x v="19"/>
    <s v="tCO₂e/Tonne"/>
    <n v="385"/>
    <x v="0"/>
    <n v="1.01"/>
  </r>
  <r>
    <x v="3"/>
    <s v="Intensity"/>
    <x v="20"/>
    <s v="tCO₂e/Crore INR"/>
    <n v="385"/>
    <x v="0"/>
    <n v="14.6"/>
  </r>
  <r>
    <x v="3"/>
    <s v="Intensity"/>
    <x v="21"/>
    <s v="tCO₂e/Crore INR"/>
    <n v="389"/>
    <x v="0"/>
    <n v="17.7"/>
  </r>
  <r>
    <x v="3"/>
    <s v="Scope 1"/>
    <x v="22"/>
    <s v="kilo tonnes CO₂e"/>
    <n v="385"/>
    <x v="0"/>
    <n v="1045"/>
  </r>
  <r>
    <x v="3"/>
    <s v="Scope 2"/>
    <x v="23"/>
    <s v="kilo tonnes CO₂e"/>
    <n v="385"/>
    <x v="0"/>
    <n v="151"/>
  </r>
  <r>
    <x v="4"/>
    <s v="Circular Economy"/>
    <x v="24"/>
    <s v="Tonnes"/>
    <n v="367"/>
    <x v="0"/>
    <n v="2300"/>
  </r>
  <r>
    <x v="4"/>
    <s v="Circular Economy"/>
    <x v="25"/>
    <s v="Tonnes"/>
    <n v="367"/>
    <x v="0"/>
    <n v="93000"/>
  </r>
  <r>
    <x v="5"/>
    <s v="Generated"/>
    <x v="26"/>
    <s v="kilo tonnes"/>
    <n v="386"/>
    <x v="0"/>
    <n v="0.25"/>
  </r>
  <r>
    <x v="5"/>
    <s v="Generated"/>
    <x v="27"/>
    <s v="kilo tonnes"/>
    <n v="386"/>
    <x v="0"/>
    <n v="0.02"/>
  </r>
  <r>
    <x v="5"/>
    <s v="Generated"/>
    <x v="28"/>
    <s v="kilo tonnes"/>
    <n v="386"/>
    <x v="0"/>
    <n v="6.4"/>
  </r>
  <r>
    <x v="5"/>
    <s v="Generated"/>
    <x v="29"/>
    <s v="kilo tonnes"/>
    <n v="386"/>
    <x v="0"/>
    <n v="0.08"/>
  </r>
  <r>
    <x v="5"/>
    <s v="Generated"/>
    <x v="30"/>
    <s v="kilo tonnes"/>
    <n v="386"/>
    <x v="0"/>
    <n v="24.3"/>
  </r>
  <r>
    <x v="5"/>
    <s v="Generated"/>
    <x v="31"/>
    <s v="kilo tonnes"/>
    <n v="386"/>
    <x v="0"/>
    <n v="12.6"/>
  </r>
  <r>
    <x v="5"/>
    <s v="Generated"/>
    <x v="32"/>
    <s v="kilo tonnes"/>
    <n v="386"/>
    <x v="0"/>
    <n v="0"/>
  </r>
  <r>
    <x v="6"/>
    <s v="Consumption"/>
    <x v="33"/>
    <s v="Million kL"/>
    <n v="383"/>
    <x v="0"/>
    <n v="11"/>
  </r>
  <r>
    <x v="6"/>
    <s v="Intensity"/>
    <x v="34"/>
    <s v="kL/Crore INR"/>
    <n v="383"/>
    <x v="0"/>
    <n v="134"/>
  </r>
  <r>
    <x v="6"/>
    <s v="Withdrawal"/>
    <x v="35"/>
    <s v="Million kL"/>
    <n v="383"/>
    <x v="0"/>
    <n v="30.1"/>
  </r>
  <r>
    <x v="0"/>
    <s v="HAP"/>
    <x v="0"/>
    <s v="Tonnes"/>
    <n v="384"/>
    <x v="1"/>
    <n v="7.8"/>
  </r>
  <r>
    <x v="0"/>
    <s v="NOx"/>
    <x v="1"/>
    <s v="Tonnes"/>
    <n v="384"/>
    <x v="1"/>
    <n v="2064"/>
  </r>
  <r>
    <x v="0"/>
    <s v="PM"/>
    <x v="2"/>
    <s v="Tonnes"/>
    <n v="384"/>
    <x v="1"/>
    <n v="553"/>
  </r>
  <r>
    <x v="0"/>
    <s v="SOx"/>
    <x v="3"/>
    <s v="Tonnes"/>
    <n v="384"/>
    <x v="1"/>
    <n v="2287"/>
  </r>
  <r>
    <x v="1"/>
    <s v="Non-Renewable"/>
    <x v="4"/>
    <s v="TJ"/>
    <n v="382"/>
    <x v="1"/>
    <n v="757"/>
  </r>
  <r>
    <x v="1"/>
    <s v="Non-Renewable"/>
    <x v="5"/>
    <s v="TJ"/>
    <n v="382"/>
    <x v="1"/>
    <n v="11600"/>
  </r>
  <r>
    <x v="1"/>
    <s v="Non-Renewable"/>
    <x v="6"/>
    <s v="TJ"/>
    <n v="382"/>
    <x v="1"/>
    <n v="12357"/>
  </r>
  <r>
    <x v="1"/>
    <s v="Overall"/>
    <x v="7"/>
    <s v="TJ"/>
    <n v="382"/>
    <x v="1"/>
    <n v="25791"/>
  </r>
  <r>
    <x v="1"/>
    <s v="Renewable"/>
    <x v="8"/>
    <s v="TJ"/>
    <n v="382"/>
    <x v="1"/>
    <n v="183"/>
  </r>
  <r>
    <x v="1"/>
    <s v="Renewable"/>
    <x v="9"/>
    <s v="TJ"/>
    <n v="382"/>
    <x v="1"/>
    <n v="868"/>
  </r>
  <r>
    <x v="1"/>
    <s v="Renewable"/>
    <x v="10"/>
    <s v="TJ"/>
    <n v="382"/>
    <x v="1"/>
    <n v="12383"/>
  </r>
  <r>
    <x v="1"/>
    <s v="Renewable"/>
    <x v="11"/>
    <s v="TJ"/>
    <n v="382"/>
    <x v="1"/>
    <n v="13434"/>
  </r>
  <r>
    <x v="2"/>
    <s v="CDP Climate"/>
    <x v="12"/>
    <s v="Rating"/>
    <n v="395"/>
    <x v="1"/>
    <s v="A-"/>
  </r>
  <r>
    <x v="2"/>
    <s v="CDP Water"/>
    <x v="14"/>
    <s v="Rating"/>
    <n v="395"/>
    <x v="1"/>
    <s v="A List"/>
  </r>
  <r>
    <x v="2"/>
    <s v="Dow Jones"/>
    <x v="15"/>
    <s v="Status"/>
    <n v="395"/>
    <x v="1"/>
    <s v="Included"/>
  </r>
  <r>
    <x v="2"/>
    <s v="MSCI"/>
    <x v="16"/>
    <s v="Rating"/>
    <n v="395"/>
    <x v="1"/>
    <s v="AA"/>
  </r>
  <r>
    <x v="3"/>
    <s v="Intensity"/>
    <x v="17"/>
    <s v="tCO₂e/Tonne"/>
    <n v="385"/>
    <x v="1"/>
    <n v="0.18"/>
  </r>
  <r>
    <x v="3"/>
    <s v="Intensity"/>
    <x v="18"/>
    <s v="tCO₂e/Million USD"/>
    <n v="385"/>
    <x v="1"/>
    <n v="34.9"/>
  </r>
  <r>
    <x v="3"/>
    <s v="Intensity"/>
    <x v="19"/>
    <s v="tCO₂e/Tonne"/>
    <n v="385"/>
    <x v="1"/>
    <n v="1.06"/>
  </r>
  <r>
    <x v="3"/>
    <s v="Intensity"/>
    <x v="20"/>
    <s v="tCO₂e/Crore INR"/>
    <n v="385"/>
    <x v="1"/>
    <n v="16.899999999999999"/>
  </r>
  <r>
    <x v="3"/>
    <s v="Intensity"/>
    <x v="21"/>
    <s v="tCO₂e/Crore INR"/>
    <n v="389"/>
    <x v="1"/>
    <n v="14.3"/>
  </r>
  <r>
    <x v="3"/>
    <s v="Scope 1"/>
    <x v="22"/>
    <s v="kilo tonnes CO₂e"/>
    <n v="385"/>
    <x v="1"/>
    <n v="1101"/>
  </r>
  <r>
    <x v="3"/>
    <s v="Scope 2"/>
    <x v="23"/>
    <s v="kilo tonnes CO₂e"/>
    <n v="385"/>
    <x v="1"/>
    <n v="153"/>
  </r>
  <r>
    <x v="4"/>
    <s v="Circular Economy"/>
    <x v="24"/>
    <s v="Tonnes"/>
    <n v="367"/>
    <x v="1"/>
    <n v="300"/>
  </r>
  <r>
    <x v="4"/>
    <s v="Circular Economy"/>
    <x v="25"/>
    <s v="Tonnes"/>
    <n v="367"/>
    <x v="1"/>
    <n v="85000"/>
  </r>
  <r>
    <x v="5"/>
    <s v="Generated"/>
    <x v="26"/>
    <s v="kilo tonnes"/>
    <n v="386"/>
    <x v="1"/>
    <n v="0.23"/>
  </r>
  <r>
    <x v="5"/>
    <s v="Generated"/>
    <x v="27"/>
    <s v="kilo tonnes"/>
    <n v="386"/>
    <x v="1"/>
    <n v="0.02"/>
  </r>
  <r>
    <x v="5"/>
    <s v="Generated"/>
    <x v="28"/>
    <s v="kilo tonnes"/>
    <n v="386"/>
    <x v="1"/>
    <n v="6.1"/>
  </r>
  <r>
    <x v="5"/>
    <s v="Generated"/>
    <x v="29"/>
    <s v="kilo tonnes"/>
    <n v="386"/>
    <x v="1"/>
    <n v="0.08"/>
  </r>
  <r>
    <x v="5"/>
    <s v="Generated"/>
    <x v="30"/>
    <s v="kilo tonnes"/>
    <n v="386"/>
    <x v="1"/>
    <n v="22.5"/>
  </r>
  <r>
    <x v="5"/>
    <s v="Generated"/>
    <x v="32"/>
    <s v="kilo tonnes"/>
    <n v="386"/>
    <x v="1"/>
    <n v="0"/>
  </r>
  <r>
    <x v="6"/>
    <s v="Consumption"/>
    <x v="33"/>
    <s v="Million kL"/>
    <n v="383"/>
    <x v="1"/>
    <n v="10.5"/>
  </r>
  <r>
    <x v="6"/>
    <s v="Intensity"/>
    <x v="34"/>
    <s v="kL/Crore INR"/>
    <n v="383"/>
    <x v="1"/>
    <n v="142"/>
  </r>
  <r>
    <x v="6"/>
    <s v="Withdrawal"/>
    <x v="35"/>
    <s v="Million kL"/>
    <n v="383"/>
    <x v="1"/>
    <n v="31.2"/>
  </r>
  <r>
    <x v="3"/>
    <s v="Scope 3"/>
    <x v="36"/>
    <s v="kilo tonnes CO₂e"/>
    <n v="389"/>
    <x v="0"/>
    <n v="1442"/>
  </r>
  <r>
    <x v="3"/>
    <s v="Scope 3"/>
    <x v="36"/>
    <s v="kilo tonnes CO₂e"/>
    <n v="389"/>
    <x v="1"/>
    <n v="1062"/>
  </r>
  <r>
    <x v="5"/>
    <s v="Generated"/>
    <x v="37"/>
    <s v="kilo tonnes"/>
    <n v="386"/>
    <x v="0"/>
    <n v="678"/>
  </r>
  <r>
    <x v="5"/>
    <s v="Generated"/>
    <x v="37"/>
    <s v="kilo tonnes"/>
    <n v="386"/>
    <x v="1"/>
    <n v="693"/>
  </r>
  <r>
    <x v="5"/>
    <s v="Recovered"/>
    <x v="38"/>
    <s v="kilo tonnes"/>
    <n v="386"/>
    <x v="0"/>
    <n v="713"/>
  </r>
  <r>
    <x v="5"/>
    <s v="Recovered"/>
    <x v="38"/>
    <s v="kilo tonnes"/>
    <n v="386"/>
    <x v="1"/>
    <n v="718"/>
  </r>
  <r>
    <x v="5"/>
    <s v="Generated"/>
    <x v="31"/>
    <s v="kilo tonnes"/>
    <n v="386"/>
    <x v="1"/>
    <s v="NA"/>
  </r>
  <r>
    <x v="7"/>
    <m/>
    <x v="39"/>
    <m/>
    <m/>
    <x v="2"/>
    <m/>
  </r>
  <r>
    <x v="7"/>
    <m/>
    <x v="39"/>
    <m/>
    <m/>
    <x v="2"/>
    <m/>
  </r>
  <r>
    <x v="8"/>
    <m/>
    <x v="39"/>
    <m/>
    <m/>
    <x v="2"/>
    <m/>
  </r>
  <r>
    <x v="9"/>
    <s v="FY2024-25"/>
    <x v="40"/>
    <m/>
    <m/>
    <x v="2"/>
    <m/>
  </r>
  <r>
    <x v="10"/>
    <n v="1101"/>
    <x v="41"/>
    <m/>
    <m/>
    <x v="2"/>
    <m/>
  </r>
  <r>
    <x v="11"/>
    <n v="153"/>
    <x v="42"/>
    <m/>
    <m/>
    <x v="2"/>
    <m/>
  </r>
  <r>
    <x v="12"/>
    <n v="1062"/>
    <x v="43"/>
    <m/>
    <m/>
    <x v="2"/>
    <m/>
  </r>
  <r>
    <x v="7"/>
    <m/>
    <x v="39"/>
    <m/>
    <m/>
    <x v="2"/>
    <m/>
  </r>
  <r>
    <x v="13"/>
    <m/>
    <x v="39"/>
    <m/>
    <m/>
    <x v="2"/>
    <m/>
  </r>
  <r>
    <x v="14"/>
    <s v="FY2024-25"/>
    <x v="40"/>
    <m/>
    <m/>
    <x v="2"/>
    <m/>
  </r>
  <r>
    <x v="15"/>
    <n v="722"/>
    <x v="44"/>
    <m/>
    <m/>
    <x v="2"/>
    <m/>
  </r>
  <r>
    <x v="16"/>
    <n v="718"/>
    <x v="45"/>
    <m/>
    <m/>
    <x v="2"/>
    <m/>
  </r>
  <r>
    <x v="17"/>
    <n v="0.9944598337950139"/>
    <x v="46"/>
    <m/>
    <m/>
    <x v="2"/>
    <m/>
  </r>
  <r>
    <x v="7"/>
    <m/>
    <x v="39"/>
    <m/>
    <m/>
    <x v="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
  <r>
    <s v="Air Emissions"/>
  </r>
  <r>
    <s v="Air Emissions"/>
  </r>
  <r>
    <s v="Air Emissions"/>
  </r>
  <r>
    <s v="Air Emissions"/>
  </r>
  <r>
    <s v="Energy"/>
  </r>
  <r>
    <s v="Energy"/>
  </r>
  <r>
    <s v="Energy"/>
  </r>
  <r>
    <s v="Energy"/>
  </r>
  <r>
    <s v="Energy"/>
  </r>
  <r>
    <s v="Energy"/>
  </r>
  <r>
    <s v="Energy"/>
  </r>
  <r>
    <s v="Energy"/>
  </r>
  <r>
    <s v="ESG Ratings"/>
  </r>
  <r>
    <s v="ESG Ratings"/>
  </r>
  <r>
    <s v="ESG Ratings"/>
  </r>
  <r>
    <s v="ESG Ratings"/>
  </r>
  <r>
    <s v="ESG Ratings"/>
  </r>
  <r>
    <s v="GHG"/>
  </r>
  <r>
    <s v="GHG"/>
  </r>
  <r>
    <s v="GHG"/>
  </r>
  <r>
    <s v="GHG"/>
  </r>
  <r>
    <s v="GHG"/>
  </r>
  <r>
    <s v="GHG"/>
  </r>
  <r>
    <s v="GHG"/>
  </r>
  <r>
    <s v="Packaging"/>
  </r>
  <r>
    <s v="Packaging"/>
  </r>
  <r>
    <s v="Waste"/>
  </r>
  <r>
    <s v="Waste"/>
  </r>
  <r>
    <s v="Waste"/>
  </r>
  <r>
    <s v="Waste"/>
  </r>
  <r>
    <s v="Waste"/>
  </r>
  <r>
    <s v="Waste"/>
  </r>
  <r>
    <s v="Waste"/>
  </r>
  <r>
    <s v="Water"/>
  </r>
  <r>
    <s v="Water"/>
  </r>
  <r>
    <s v="Water"/>
  </r>
  <r>
    <s v="Air Emissions"/>
  </r>
  <r>
    <s v="Air Emissions"/>
  </r>
  <r>
    <s v="Air Emissions"/>
  </r>
  <r>
    <s v="Air Emissions"/>
  </r>
  <r>
    <s v="Energy"/>
  </r>
  <r>
    <s v="Energy"/>
  </r>
  <r>
    <s v="Energy"/>
  </r>
  <r>
    <s v="Energy"/>
  </r>
  <r>
    <s v="Energy"/>
  </r>
  <r>
    <s v="Energy"/>
  </r>
  <r>
    <s v="Energy"/>
  </r>
  <r>
    <s v="Energy"/>
  </r>
  <r>
    <s v="ESG Ratings"/>
  </r>
  <r>
    <s v="ESG Ratings"/>
  </r>
  <r>
    <s v="ESG Ratings"/>
  </r>
  <r>
    <s v="ESG Ratings"/>
  </r>
  <r>
    <s v="GHG"/>
  </r>
  <r>
    <s v="GHG"/>
  </r>
  <r>
    <s v="GHG"/>
  </r>
  <r>
    <s v="GHG"/>
  </r>
  <r>
    <s v="GHG"/>
  </r>
  <r>
    <s v="GHG"/>
  </r>
  <r>
    <s v="GHG"/>
  </r>
  <r>
    <s v="Packaging"/>
  </r>
  <r>
    <s v="Packaging"/>
  </r>
  <r>
    <s v="Waste"/>
  </r>
  <r>
    <s v="Waste"/>
  </r>
  <r>
    <s v="Waste"/>
  </r>
  <r>
    <s v="Waste"/>
  </r>
  <r>
    <s v="Waste"/>
  </r>
  <r>
    <s v="Waste"/>
  </r>
  <r>
    <s v="Water"/>
  </r>
  <r>
    <s v="Water"/>
  </r>
  <r>
    <s v="Water"/>
  </r>
  <r>
    <s v="GHG"/>
  </r>
  <r>
    <s v="GHG"/>
  </r>
  <r>
    <s v="Waste"/>
  </r>
  <r>
    <s v="Waste"/>
  </r>
  <r>
    <s v="Waste"/>
  </r>
  <r>
    <s v="Waste"/>
  </r>
  <r>
    <s v="Waste"/>
  </r>
  <r>
    <m/>
  </r>
  <r>
    <m/>
  </r>
  <r>
    <s v="Chart Helper: GHG Scope Split (kt CO2e)"/>
  </r>
  <r>
    <s v="Scope"/>
  </r>
  <r>
    <s v="Scope 1 Emissions"/>
  </r>
  <r>
    <s v="Scope 2 Emissions"/>
  </r>
  <r>
    <s v="Scope 3 Emissions"/>
  </r>
  <r>
    <m/>
  </r>
  <r>
    <s v="Chart Helper: Waste Recovery (kt)"/>
  </r>
  <r>
    <s v="Metric"/>
  </r>
  <r>
    <s v="Total Waste Generated"/>
  </r>
  <r>
    <s v="Waste Recycled"/>
  </r>
  <r>
    <s v="Waste Recycled %"/>
  </r>
  <r>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EC1E3E-868B-42AE-9BBD-DC4A3C1177D5}" name="WAS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55:D62" firstHeaderRow="1" firstDataRow="2" firstDataCol="1" rowPageCount="1" colPageCount="1"/>
  <pivotFields count="7">
    <pivotField axis="axisPage" multipleItemSelectionAllowed="1" showAll="0">
      <items count="19">
        <item h="1" x="0"/>
        <item h="1" x="8"/>
        <item h="1" x="13"/>
        <item h="1" x="1"/>
        <item h="1" x="2"/>
        <item h="1" x="3"/>
        <item h="1" x="14"/>
        <item h="1" x="4"/>
        <item h="1" x="9"/>
        <item h="1" x="10"/>
        <item h="1" x="11"/>
        <item h="1" x="12"/>
        <item h="1" x="15"/>
        <item x="5"/>
        <item h="1" x="16"/>
        <item h="1" x="17"/>
        <item h="1" x="6"/>
        <item h="1" x="7"/>
        <item t="default"/>
      </items>
    </pivotField>
    <pivotField showAll="0"/>
    <pivotField axis="axisRow" showAll="0">
      <items count="48">
        <item x="46"/>
        <item x="42"/>
        <item x="45"/>
        <item x="44"/>
        <item x="41"/>
        <item x="43"/>
        <item x="26"/>
        <item x="27"/>
        <item x="12"/>
        <item x="13"/>
        <item x="14"/>
        <item x="28"/>
        <item x="15"/>
        <item x="29"/>
        <item x="40"/>
        <item x="17"/>
        <item x="18"/>
        <item x="19"/>
        <item x="20"/>
        <item x="0"/>
        <item x="16"/>
        <item x="4"/>
        <item x="5"/>
        <item x="1"/>
        <item x="30"/>
        <item h="1" x="37"/>
        <item x="8"/>
        <item x="2"/>
        <item h="1" x="31"/>
        <item h="1" x="32"/>
        <item x="24"/>
        <item x="9"/>
        <item x="10"/>
        <item x="22"/>
        <item x="23"/>
        <item x="36"/>
        <item x="21"/>
        <item x="3"/>
        <item x="7"/>
        <item x="6"/>
        <item x="11"/>
        <item x="33"/>
        <item x="35"/>
        <item x="25"/>
        <item h="1" x="38"/>
        <item x="34"/>
        <item x="39"/>
        <item t="default"/>
      </items>
    </pivotField>
    <pivotField showAll="0"/>
    <pivotField showAll="0"/>
    <pivotField axis="axisCol" showAll="0">
      <items count="4">
        <item x="1"/>
        <item x="0"/>
        <item h="1" x="2"/>
        <item t="default"/>
      </items>
    </pivotField>
    <pivotField dataField="1" showAll="0"/>
  </pivotFields>
  <rowFields count="1">
    <field x="2"/>
  </rowFields>
  <rowItems count="6">
    <i>
      <x v="6"/>
    </i>
    <i>
      <x v="7"/>
    </i>
    <i>
      <x v="11"/>
    </i>
    <i>
      <x v="13"/>
    </i>
    <i>
      <x v="24"/>
    </i>
    <i t="grand">
      <x/>
    </i>
  </rowItems>
  <colFields count="1">
    <field x="5"/>
  </colFields>
  <colItems count="3">
    <i>
      <x/>
    </i>
    <i>
      <x v="1"/>
    </i>
    <i t="grand">
      <x/>
    </i>
  </colItems>
  <pageFields count="1">
    <pageField fld="0" hier="-1"/>
  </pageFields>
  <dataFields count="1">
    <dataField name="Sum of Value" fld="6" baseField="2" baseItem="0"/>
  </dataFields>
  <chartFormats count="11">
    <chartFormat chart="0" format="0" series="1">
      <pivotArea type="data" outline="0" fieldPosition="0">
        <references count="1">
          <reference field="5" count="1" selected="0">
            <x v="0"/>
          </reference>
        </references>
      </pivotArea>
    </chartFormat>
    <chartFormat chart="0" format="1" series="1">
      <pivotArea type="data" outline="0" fieldPosition="0">
        <references count="1">
          <reference field="5" count="1" selected="0">
            <x v="1"/>
          </reference>
        </references>
      </pivotArea>
    </chartFormat>
    <chartFormat chart="0" format="2" series="1">
      <pivotArea type="data" outline="0" fieldPosition="0">
        <references count="1">
          <reference field="5" count="1" selected="0">
            <x v="2"/>
          </reference>
        </references>
      </pivotArea>
    </chartFormat>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5" format="4" series="1">
      <pivotArea type="data" outline="0" fieldPosition="0">
        <references count="2">
          <reference field="4294967294" count="1" selected="0">
            <x v="0"/>
          </reference>
          <reference field="5" count="1" selected="0">
            <x v="0"/>
          </reference>
        </references>
      </pivotArea>
    </chartFormat>
    <chartFormat chart="5"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EDC528-E891-44D0-B6C9-AB35420F9C74}" name="SCOPE 123, 25-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M89:O94" firstHeaderRow="1" firstDataRow="2" firstDataCol="1" rowPageCount="1" colPageCount="1"/>
  <pivotFields count="7">
    <pivotField axis="axisPage" multipleItemSelectionAllowed="1" showAll="0">
      <items count="19">
        <item h="1" x="0"/>
        <item h="1" x="8"/>
        <item h="1" x="13"/>
        <item h="1" x="1"/>
        <item h="1" x="2"/>
        <item x="3"/>
        <item h="1" x="14"/>
        <item h="1" x="4"/>
        <item h="1" x="9"/>
        <item h="1" x="10"/>
        <item h="1" x="11"/>
        <item h="1" x="12"/>
        <item h="1" x="15"/>
        <item h="1" x="5"/>
        <item h="1" x="16"/>
        <item h="1" x="17"/>
        <item h="1" x="6"/>
        <item h="1" x="7"/>
        <item t="default"/>
      </items>
    </pivotField>
    <pivotField showAll="0"/>
    <pivotField axis="axisRow" showAll="0">
      <items count="48">
        <item h="1" x="46"/>
        <item h="1" x="42"/>
        <item h="1" x="45"/>
        <item h="1" x="44"/>
        <item h="1" x="41"/>
        <item h="1" x="43"/>
        <item h="1" x="26"/>
        <item h="1" x="27"/>
        <item h="1" x="12"/>
        <item h="1" x="13"/>
        <item h="1" x="14"/>
        <item h="1" x="28"/>
        <item h="1" x="15"/>
        <item h="1" x="29"/>
        <item h="1" x="40"/>
        <item h="1" x="17"/>
        <item h="1" x="18"/>
        <item h="1" x="19"/>
        <item h="1" x="20"/>
        <item h="1" x="0"/>
        <item h="1" x="16"/>
        <item h="1" x="4"/>
        <item h="1" x="5"/>
        <item h="1" x="1"/>
        <item h="1" x="30"/>
        <item h="1" x="37"/>
        <item h="1" x="8"/>
        <item h="1" x="2"/>
        <item h="1" x="31"/>
        <item h="1" x="32"/>
        <item h="1" x="24"/>
        <item h="1" x="9"/>
        <item h="1" x="10"/>
        <item x="22"/>
        <item x="23"/>
        <item x="36"/>
        <item h="1" x="21"/>
        <item h="1" x="3"/>
        <item h="1" x="7"/>
        <item h="1" x="6"/>
        <item h="1" x="11"/>
        <item h="1" x="33"/>
        <item h="1" x="35"/>
        <item h="1" x="25"/>
        <item h="1" x="38"/>
        <item h="1" x="34"/>
        <item h="1" x="39"/>
        <item t="default"/>
      </items>
    </pivotField>
    <pivotField showAll="0"/>
    <pivotField showAll="0"/>
    <pivotField axis="axisCol" showAll="0">
      <items count="4">
        <item h="1" x="1"/>
        <item x="0"/>
        <item h="1" x="2"/>
        <item t="default"/>
      </items>
    </pivotField>
    <pivotField dataField="1" showAll="0"/>
  </pivotFields>
  <rowFields count="1">
    <field x="2"/>
  </rowFields>
  <rowItems count="4">
    <i>
      <x v="33"/>
    </i>
    <i>
      <x v="34"/>
    </i>
    <i>
      <x v="35"/>
    </i>
    <i t="grand">
      <x/>
    </i>
  </rowItems>
  <colFields count="1">
    <field x="5"/>
  </colFields>
  <colItems count="2">
    <i>
      <x v="1"/>
    </i>
    <i t="grand">
      <x/>
    </i>
  </colItems>
  <pageFields count="1">
    <pageField fld="0" hier="-1"/>
  </pageFields>
  <dataFields count="1">
    <dataField name="Sum of Value" fld="6" baseField="2" baseItem="0"/>
  </dataFields>
  <chartFormats count="22">
    <chartFormat chart="0" format="0" series="1">
      <pivotArea type="data" outline="0" fieldPosition="0">
        <references count="1">
          <reference field="5" count="1" selected="0">
            <x v="0"/>
          </reference>
        </references>
      </pivotArea>
    </chartFormat>
    <chartFormat chart="0" format="1" series="1">
      <pivotArea type="data" outline="0" fieldPosition="0">
        <references count="1">
          <reference field="5" count="1" selected="0">
            <x v="1"/>
          </reference>
        </references>
      </pivotArea>
    </chartFormat>
    <chartFormat chart="0" format="2" series="1">
      <pivotArea type="data" outline="0" fieldPosition="0">
        <references count="1">
          <reference field="5" count="1" selected="0">
            <x v="2"/>
          </reference>
        </references>
      </pivotArea>
    </chartFormat>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4" format="0" series="1">
      <pivotArea type="data" outline="0" fieldPosition="0">
        <references count="2">
          <reference field="4294967294" count="1" selected="0">
            <x v="0"/>
          </reference>
          <reference field="5" count="1" selected="0">
            <x v="0"/>
          </reference>
        </references>
      </pivotArea>
    </chartFormat>
    <chartFormat chart="4" format="1" series="1">
      <pivotArea type="data" outline="0" fieldPosition="0">
        <references count="2">
          <reference field="4294967294" count="1" selected="0">
            <x v="0"/>
          </reference>
          <reference field="5" count="1" selected="0">
            <x v="1"/>
          </reference>
        </references>
      </pivotArea>
    </chartFormat>
    <chartFormat chart="5" format="0" series="1">
      <pivotArea type="data" outline="0" fieldPosition="0">
        <references count="2">
          <reference field="4294967294" count="1" selected="0">
            <x v="0"/>
          </reference>
          <reference field="5" count="1" selected="0">
            <x v="0"/>
          </reference>
        </references>
      </pivotArea>
    </chartFormat>
    <chartFormat chart="5" format="1" series="1">
      <pivotArea type="data" outline="0" fieldPosition="0">
        <references count="2">
          <reference field="4294967294" count="1" selected="0">
            <x v="0"/>
          </reference>
          <reference field="5" count="1" selected="0">
            <x v="1"/>
          </reference>
        </references>
      </pivotArea>
    </chartFormat>
    <chartFormat chart="11" format="0" series="1">
      <pivotArea type="data" outline="0" fieldPosition="0">
        <references count="2">
          <reference field="4294967294" count="1" selected="0">
            <x v="0"/>
          </reference>
          <reference field="5" count="1" selected="0">
            <x v="0"/>
          </reference>
        </references>
      </pivotArea>
    </chartFormat>
    <chartFormat chart="11" format="1" series="1">
      <pivotArea type="data" outline="0" fieldPosition="0">
        <references count="2">
          <reference field="4294967294" count="1" selected="0">
            <x v="0"/>
          </reference>
          <reference field="5" count="1" selected="0">
            <x v="1"/>
          </reference>
        </references>
      </pivotArea>
    </chartFormat>
    <chartFormat chart="13" format="6" series="1">
      <pivotArea type="data" outline="0" fieldPosition="0">
        <references count="2">
          <reference field="4294967294" count="1" selected="0">
            <x v="0"/>
          </reference>
          <reference field="5" count="1" selected="0">
            <x v="1"/>
          </reference>
        </references>
      </pivotArea>
    </chartFormat>
    <chartFormat chart="13" format="7">
      <pivotArea type="data" outline="0" fieldPosition="0">
        <references count="3">
          <reference field="4294967294" count="1" selected="0">
            <x v="0"/>
          </reference>
          <reference field="2" count="1" selected="0">
            <x v="33"/>
          </reference>
          <reference field="5" count="1" selected="0">
            <x v="1"/>
          </reference>
        </references>
      </pivotArea>
    </chartFormat>
    <chartFormat chart="13" format="8">
      <pivotArea type="data" outline="0" fieldPosition="0">
        <references count="3">
          <reference field="4294967294" count="1" selected="0">
            <x v="0"/>
          </reference>
          <reference field="2" count="1" selected="0">
            <x v="34"/>
          </reference>
          <reference field="5" count="1" selected="0">
            <x v="1"/>
          </reference>
        </references>
      </pivotArea>
    </chartFormat>
    <chartFormat chart="13" format="9">
      <pivotArea type="data" outline="0" fieldPosition="0">
        <references count="3">
          <reference field="4294967294" count="1" selected="0">
            <x v="0"/>
          </reference>
          <reference field="2" count="1" selected="0">
            <x v="35"/>
          </reference>
          <reference field="5" count="1" selected="0">
            <x v="1"/>
          </reference>
        </references>
      </pivotArea>
    </chartFormat>
    <chartFormat chart="11" format="2">
      <pivotArea type="data" outline="0" fieldPosition="0">
        <references count="3">
          <reference field="4294967294" count="1" selected="0">
            <x v="0"/>
          </reference>
          <reference field="2" count="1" selected="0">
            <x v="33"/>
          </reference>
          <reference field="5" count="1" selected="0">
            <x v="1"/>
          </reference>
        </references>
      </pivotArea>
    </chartFormat>
    <chartFormat chart="11" format="3">
      <pivotArea type="data" outline="0" fieldPosition="0">
        <references count="3">
          <reference field="4294967294" count="1" selected="0">
            <x v="0"/>
          </reference>
          <reference field="2" count="1" selected="0">
            <x v="34"/>
          </reference>
          <reference field="5" count="1" selected="0">
            <x v="1"/>
          </reference>
        </references>
      </pivotArea>
    </chartFormat>
    <chartFormat chart="11" format="4">
      <pivotArea type="data" outline="0" fieldPosition="0">
        <references count="3">
          <reference field="4294967294" count="1" selected="0">
            <x v="0"/>
          </reference>
          <reference field="2" count="1" selected="0">
            <x v="35"/>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F69656-A345-41DE-946D-FD4F4BBB1953}" name="GH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7:D43" firstHeaderRow="1" firstDataRow="2" firstDataCol="1" rowPageCount="1" colPageCount="1"/>
  <pivotFields count="7">
    <pivotField axis="axisPage" multipleItemSelectionAllowed="1" showAll="0">
      <items count="19">
        <item h="1" x="0"/>
        <item h="1" x="8"/>
        <item h="1" x="13"/>
        <item h="1" x="1"/>
        <item h="1" x="2"/>
        <item x="3"/>
        <item h="1" x="14"/>
        <item h="1" x="4"/>
        <item h="1" x="9"/>
        <item h="1" x="10"/>
        <item h="1" x="11"/>
        <item h="1" x="12"/>
        <item h="1" x="15"/>
        <item h="1" x="5"/>
        <item h="1" x="16"/>
        <item h="1" x="17"/>
        <item h="1" x="6"/>
        <item h="1" x="7"/>
        <item t="default"/>
      </items>
    </pivotField>
    <pivotField showAll="0"/>
    <pivotField axis="axisRow" showAll="0">
      <items count="48">
        <item h="1" x="46"/>
        <item h="1" x="42"/>
        <item h="1" x="45"/>
        <item h="1" x="44"/>
        <item h="1" x="41"/>
        <item h="1" x="43"/>
        <item h="1" x="26"/>
        <item h="1" x="27"/>
        <item h="1" x="12"/>
        <item h="1" x="13"/>
        <item h="1" x="14"/>
        <item h="1" x="28"/>
        <item h="1" x="15"/>
        <item h="1" x="29"/>
        <item h="1" x="40"/>
        <item x="17"/>
        <item x="18"/>
        <item x="19"/>
        <item x="20"/>
        <item h="1" x="0"/>
        <item h="1" x="16"/>
        <item h="1" x="4"/>
        <item h="1" x="5"/>
        <item h="1" x="1"/>
        <item h="1" x="30"/>
        <item h="1" x="37"/>
        <item h="1" x="8"/>
        <item h="1" x="2"/>
        <item h="1" x="31"/>
        <item h="1" x="32"/>
        <item h="1" x="24"/>
        <item h="1" x="9"/>
        <item h="1" x="10"/>
        <item h="1" x="22"/>
        <item h="1" x="23"/>
        <item h="1" x="36"/>
        <item h="1" x="21"/>
        <item h="1" x="3"/>
        <item h="1" x="7"/>
        <item h="1" x="6"/>
        <item h="1" x="11"/>
        <item h="1" x="33"/>
        <item h="1" x="35"/>
        <item h="1" x="25"/>
        <item h="1" x="38"/>
        <item h="1" x="34"/>
        <item h="1" x="39"/>
        <item t="default"/>
      </items>
    </pivotField>
    <pivotField showAll="0"/>
    <pivotField showAll="0"/>
    <pivotField axis="axisCol" showAll="0">
      <items count="4">
        <item x="1"/>
        <item x="0"/>
        <item h="1" x="2"/>
        <item t="default"/>
      </items>
    </pivotField>
    <pivotField dataField="1" showAll="0"/>
  </pivotFields>
  <rowFields count="1">
    <field x="2"/>
  </rowFields>
  <rowItems count="5">
    <i>
      <x v="15"/>
    </i>
    <i>
      <x v="16"/>
    </i>
    <i>
      <x v="17"/>
    </i>
    <i>
      <x v="18"/>
    </i>
    <i t="grand">
      <x/>
    </i>
  </rowItems>
  <colFields count="1">
    <field x="5"/>
  </colFields>
  <colItems count="3">
    <i>
      <x/>
    </i>
    <i>
      <x v="1"/>
    </i>
    <i t="grand">
      <x/>
    </i>
  </colItems>
  <pageFields count="1">
    <pageField fld="0" hier="-1"/>
  </pageFields>
  <dataFields count="1">
    <dataField name="Sum of Value" fld="6" baseField="2" baseItem="0"/>
  </dataFields>
  <chartFormats count="9">
    <chartFormat chart="0" format="0" series="1">
      <pivotArea type="data" outline="0" fieldPosition="0">
        <references count="1">
          <reference field="5" count="1" selected="0">
            <x v="0"/>
          </reference>
        </references>
      </pivotArea>
    </chartFormat>
    <chartFormat chart="0" format="1" series="1">
      <pivotArea type="data" outline="0" fieldPosition="0">
        <references count="1">
          <reference field="5" count="1" selected="0">
            <x v="1"/>
          </reference>
        </references>
      </pivotArea>
    </chartFormat>
    <chartFormat chart="0" format="2" series="1">
      <pivotArea type="data" outline="0" fieldPosition="0">
        <references count="1">
          <reference field="5" count="1" selected="0">
            <x v="2"/>
          </reference>
        </references>
      </pivotArea>
    </chartFormat>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5" format="4" series="1">
      <pivotArea type="data" outline="0" fieldPosition="0">
        <references count="2">
          <reference field="4294967294" count="1" selected="0">
            <x v="0"/>
          </reference>
          <reference field="5" count="1" selected="0">
            <x v="0"/>
          </reference>
        </references>
      </pivotArea>
    </chartFormat>
    <chartFormat chart="5"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9197FB-6F7F-4695-A581-3F5D3454EAEF}" name="ENERG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D25" firstHeaderRow="1" firstDataRow="2" firstDataCol="1" rowPageCount="1" colPageCount="1"/>
  <pivotFields count="7">
    <pivotField axis="axisPage" multipleItemSelectionAllowed="1" showAll="0">
      <items count="19">
        <item h="1" x="0"/>
        <item h="1" x="8"/>
        <item h="1" x="13"/>
        <item x="1"/>
        <item h="1" x="2"/>
        <item h="1" x="3"/>
        <item h="1" x="14"/>
        <item h="1" x="4"/>
        <item h="1" x="9"/>
        <item h="1" x="10"/>
        <item h="1" x="11"/>
        <item h="1" x="12"/>
        <item h="1" x="15"/>
        <item h="1" x="5"/>
        <item h="1" x="16"/>
        <item h="1" x="17"/>
        <item h="1" x="6"/>
        <item h="1" x="7"/>
        <item t="default"/>
      </items>
    </pivotField>
    <pivotField showAll="0"/>
    <pivotField axis="axisRow" showAll="0">
      <items count="48">
        <item h="1" x="46"/>
        <item h="1" x="42"/>
        <item h="1" x="45"/>
        <item h="1" x="44"/>
        <item h="1" x="41"/>
        <item h="1" x="43"/>
        <item h="1" x="26"/>
        <item h="1" x="27"/>
        <item h="1" x="12"/>
        <item h="1" x="13"/>
        <item h="1" x="14"/>
        <item h="1" x="28"/>
        <item h="1" x="15"/>
        <item h="1" x="29"/>
        <item h="1" x="40"/>
        <item h="1" x="17"/>
        <item h="1" x="18"/>
        <item h="1" x="19"/>
        <item h="1" x="20"/>
        <item h="1" x="0"/>
        <item h="1" x="16"/>
        <item h="1" x="4"/>
        <item h="1" x="5"/>
        <item h="1" x="1"/>
        <item h="1" x="30"/>
        <item h="1" x="37"/>
        <item h="1" x="8"/>
        <item h="1" x="2"/>
        <item h="1" x="31"/>
        <item h="1" x="32"/>
        <item h="1" x="24"/>
        <item h="1" x="9"/>
        <item h="1" x="10"/>
        <item h="1" x="22"/>
        <item h="1" x="23"/>
        <item h="1" x="36"/>
        <item h="1" x="21"/>
        <item h="1" x="3"/>
        <item x="7"/>
        <item x="6"/>
        <item x="11"/>
        <item h="1" x="33"/>
        <item h="1" x="35"/>
        <item h="1" x="25"/>
        <item h="1" x="38"/>
        <item h="1" x="34"/>
        <item h="1" x="39"/>
        <item t="default"/>
      </items>
    </pivotField>
    <pivotField showAll="0"/>
    <pivotField showAll="0"/>
    <pivotField axis="axisCol" showAll="0">
      <items count="4">
        <item x="1"/>
        <item x="0"/>
        <item h="1" x="2"/>
        <item t="default"/>
      </items>
    </pivotField>
    <pivotField dataField="1" showAll="0"/>
  </pivotFields>
  <rowFields count="1">
    <field x="2"/>
  </rowFields>
  <rowItems count="4">
    <i>
      <x v="38"/>
    </i>
    <i>
      <x v="39"/>
    </i>
    <i>
      <x v="40"/>
    </i>
    <i t="grand">
      <x/>
    </i>
  </rowItems>
  <colFields count="1">
    <field x="5"/>
  </colFields>
  <colItems count="3">
    <i>
      <x/>
    </i>
    <i>
      <x v="1"/>
    </i>
    <i t="grand">
      <x/>
    </i>
  </colItems>
  <pageFields count="1">
    <pageField fld="0" hier="-1"/>
  </pageFields>
  <dataFields count="1">
    <dataField name="Sum of Value" fld="6" baseField="2" baseItem="0"/>
  </dataFields>
  <chartFormats count="7">
    <chartFormat chart="0" format="0" series="1">
      <pivotArea type="data" outline="0" fieldPosition="0">
        <references count="1">
          <reference field="5" count="1" selected="0">
            <x v="0"/>
          </reference>
        </references>
      </pivotArea>
    </chartFormat>
    <chartFormat chart="0" format="1" series="1">
      <pivotArea type="data" outline="0" fieldPosition="0">
        <references count="1">
          <reference field="5" count="1" selected="0">
            <x v="1"/>
          </reference>
        </references>
      </pivotArea>
    </chartFormat>
    <chartFormat chart="0" format="2" series="1">
      <pivotArea type="data" outline="0" fieldPosition="0">
        <references count="1">
          <reference field="5" count="1" selected="0">
            <x v="2"/>
          </reference>
        </references>
      </pivotArea>
    </chartFormat>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8A9E33-D703-47CE-BBE5-A9D10D92CD98}" name="WAST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10:D117" firstHeaderRow="1" firstDataRow="2" firstDataCol="1" rowPageCount="1" colPageCount="1"/>
  <pivotFields count="7">
    <pivotField axis="axisPage" multipleItemSelectionAllowed="1" showAll="0">
      <items count="19">
        <item h="1" x="0"/>
        <item h="1" x="8"/>
        <item h="1" x="13"/>
        <item h="1" x="1"/>
        <item h="1" x="2"/>
        <item h="1" x="3"/>
        <item h="1" x="14"/>
        <item h="1" x="4"/>
        <item h="1" x="9"/>
        <item h="1" x="10"/>
        <item h="1" x="11"/>
        <item h="1" x="12"/>
        <item h="1" x="15"/>
        <item x="5"/>
        <item h="1" x="16"/>
        <item h="1" x="17"/>
        <item h="1" x="6"/>
        <item h="1" x="7"/>
        <item t="default"/>
      </items>
    </pivotField>
    <pivotField showAll="0"/>
    <pivotField axis="axisRow" showAll="0">
      <items count="48">
        <item x="46"/>
        <item x="42"/>
        <item x="45"/>
        <item x="44"/>
        <item x="41"/>
        <item x="43"/>
        <item x="26"/>
        <item x="27"/>
        <item x="12"/>
        <item x="13"/>
        <item x="14"/>
        <item x="28"/>
        <item x="15"/>
        <item x="29"/>
        <item x="40"/>
        <item x="17"/>
        <item x="18"/>
        <item x="19"/>
        <item x="20"/>
        <item x="0"/>
        <item x="16"/>
        <item x="4"/>
        <item x="5"/>
        <item x="1"/>
        <item x="30"/>
        <item h="1" x="37"/>
        <item x="8"/>
        <item x="2"/>
        <item h="1" x="31"/>
        <item h="1" x="32"/>
        <item x="24"/>
        <item x="9"/>
        <item x="10"/>
        <item x="22"/>
        <item x="23"/>
        <item x="36"/>
        <item x="21"/>
        <item x="3"/>
        <item x="7"/>
        <item x="6"/>
        <item x="11"/>
        <item x="33"/>
        <item x="35"/>
        <item x="25"/>
        <item h="1" x="38"/>
        <item x="34"/>
        <item x="39"/>
        <item t="default"/>
      </items>
    </pivotField>
    <pivotField showAll="0"/>
    <pivotField showAll="0"/>
    <pivotField axis="axisCol" showAll="0">
      <items count="4">
        <item x="1"/>
        <item x="0"/>
        <item h="1" x="2"/>
        <item t="default"/>
      </items>
    </pivotField>
    <pivotField dataField="1" showAll="0"/>
  </pivotFields>
  <rowFields count="1">
    <field x="2"/>
  </rowFields>
  <rowItems count="6">
    <i>
      <x v="6"/>
    </i>
    <i>
      <x v="7"/>
    </i>
    <i>
      <x v="11"/>
    </i>
    <i>
      <x v="13"/>
    </i>
    <i>
      <x v="24"/>
    </i>
    <i t="grand">
      <x/>
    </i>
  </rowItems>
  <colFields count="1">
    <field x="5"/>
  </colFields>
  <colItems count="3">
    <i>
      <x/>
    </i>
    <i>
      <x v="1"/>
    </i>
    <i t="grand">
      <x/>
    </i>
  </colItems>
  <pageFields count="1">
    <pageField fld="0" hier="-1"/>
  </pageFields>
  <dataFields count="1">
    <dataField name="Sum of Value" fld="6" baseField="2" baseItem="0"/>
  </dataFields>
  <chartFormats count="11">
    <chartFormat chart="0" format="0" series="1">
      <pivotArea type="data" outline="0" fieldPosition="0">
        <references count="1">
          <reference field="5" count="1" selected="0">
            <x v="0"/>
          </reference>
        </references>
      </pivotArea>
    </chartFormat>
    <chartFormat chart="0" format="1" series="1">
      <pivotArea type="data" outline="0" fieldPosition="0">
        <references count="1">
          <reference field="5" count="1" selected="0">
            <x v="1"/>
          </reference>
        </references>
      </pivotArea>
    </chartFormat>
    <chartFormat chart="0" format="2" series="1">
      <pivotArea type="data" outline="0" fieldPosition="0">
        <references count="1">
          <reference field="5" count="1" selected="0">
            <x v="2"/>
          </reference>
        </references>
      </pivotArea>
    </chartFormat>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5" format="4" series="1">
      <pivotArea type="data" outline="0" fieldPosition="0">
        <references count="2">
          <reference field="4294967294" count="1" selected="0">
            <x v="0"/>
          </reference>
          <reference field="5" count="1" selected="0">
            <x v="0"/>
          </reference>
        </references>
      </pivotArea>
    </chartFormat>
    <chartFormat chart="5"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FA94F4-06A3-463A-985E-583E185D464A}" name="WAT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72:D77" firstHeaderRow="1" firstDataRow="2" firstDataCol="1" rowPageCount="1" colPageCount="1"/>
  <pivotFields count="7">
    <pivotField axis="axisPage" multipleItemSelectionAllowed="1" showAll="0">
      <items count="19">
        <item h="1" x="0"/>
        <item h="1" x="8"/>
        <item h="1" x="13"/>
        <item h="1" x="1"/>
        <item h="1" x="2"/>
        <item h="1" x="3"/>
        <item h="1" x="14"/>
        <item h="1" x="4"/>
        <item h="1" x="9"/>
        <item h="1" x="10"/>
        <item h="1" x="11"/>
        <item h="1" x="12"/>
        <item h="1" x="15"/>
        <item h="1" x="5"/>
        <item h="1" x="16"/>
        <item h="1" x="17"/>
        <item x="6"/>
        <item h="1" x="7"/>
        <item t="default"/>
      </items>
    </pivotField>
    <pivotField showAll="0"/>
    <pivotField axis="axisRow" showAll="0">
      <items count="48">
        <item x="46"/>
        <item x="42"/>
        <item x="45"/>
        <item x="44"/>
        <item x="41"/>
        <item x="43"/>
        <item x="26"/>
        <item x="27"/>
        <item x="12"/>
        <item x="13"/>
        <item x="14"/>
        <item x="28"/>
        <item x="15"/>
        <item x="29"/>
        <item x="40"/>
        <item x="17"/>
        <item x="18"/>
        <item x="19"/>
        <item x="20"/>
        <item x="0"/>
        <item x="16"/>
        <item x="4"/>
        <item x="5"/>
        <item x="1"/>
        <item x="30"/>
        <item x="37"/>
        <item x="8"/>
        <item x="2"/>
        <item x="31"/>
        <item x="32"/>
        <item x="24"/>
        <item x="9"/>
        <item x="10"/>
        <item x="22"/>
        <item x="23"/>
        <item x="36"/>
        <item x="21"/>
        <item x="3"/>
        <item x="7"/>
        <item x="6"/>
        <item x="11"/>
        <item x="33"/>
        <item x="35"/>
        <item x="25"/>
        <item x="38"/>
        <item x="34"/>
        <item x="39"/>
        <item t="default"/>
      </items>
    </pivotField>
    <pivotField showAll="0"/>
    <pivotField showAll="0"/>
    <pivotField axis="axisCol" showAll="0">
      <items count="4">
        <item x="1"/>
        <item x="0"/>
        <item h="1" x="2"/>
        <item t="default"/>
      </items>
    </pivotField>
    <pivotField dataField="1" showAll="0"/>
  </pivotFields>
  <rowFields count="1">
    <field x="2"/>
  </rowFields>
  <rowItems count="4">
    <i>
      <x v="41"/>
    </i>
    <i>
      <x v="42"/>
    </i>
    <i>
      <x v="45"/>
    </i>
    <i t="grand">
      <x/>
    </i>
  </rowItems>
  <colFields count="1">
    <field x="5"/>
  </colFields>
  <colItems count="3">
    <i>
      <x/>
    </i>
    <i>
      <x v="1"/>
    </i>
    <i t="grand">
      <x/>
    </i>
  </colItems>
  <pageFields count="1">
    <pageField fld="0" hier="-1"/>
  </pageFields>
  <dataFields count="1">
    <dataField name="Sum of Value" fld="6" baseField="2" baseItem="0"/>
  </dataFields>
  <chartFormats count="13">
    <chartFormat chart="0" format="0" series="1">
      <pivotArea type="data" outline="0" fieldPosition="0">
        <references count="1">
          <reference field="5" count="1" selected="0">
            <x v="0"/>
          </reference>
        </references>
      </pivotArea>
    </chartFormat>
    <chartFormat chart="0" format="1" series="1">
      <pivotArea type="data" outline="0" fieldPosition="0">
        <references count="1">
          <reference field="5" count="1" selected="0">
            <x v="1"/>
          </reference>
        </references>
      </pivotArea>
    </chartFormat>
    <chartFormat chart="0" format="2" series="1">
      <pivotArea type="data" outline="0" fieldPosition="0">
        <references count="1">
          <reference field="5" count="1" selected="0">
            <x v="2"/>
          </reference>
        </references>
      </pivotArea>
    </chartFormat>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4" format="0" series="1">
      <pivotArea type="data" outline="0" fieldPosition="0">
        <references count="2">
          <reference field="4294967294" count="1" selected="0">
            <x v="0"/>
          </reference>
          <reference field="5" count="1" selected="0">
            <x v="0"/>
          </reference>
        </references>
      </pivotArea>
    </chartFormat>
    <chartFormat chart="4"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A53A58D-99FE-49B4-BC3E-B1CF6DAF89B1}" name="SCOPE 123 , 24-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89:C94" firstHeaderRow="1" firstDataRow="2" firstDataCol="1" rowPageCount="1" colPageCount="1"/>
  <pivotFields count="7">
    <pivotField axis="axisPage" multipleItemSelectionAllowed="1" showAll="0">
      <items count="19">
        <item h="1" x="0"/>
        <item h="1" x="8"/>
        <item h="1" x="13"/>
        <item h="1" x="1"/>
        <item h="1" x="2"/>
        <item x="3"/>
        <item h="1" x="14"/>
        <item h="1" x="4"/>
        <item h="1" x="9"/>
        <item h="1" x="10"/>
        <item h="1" x="11"/>
        <item h="1" x="12"/>
        <item h="1" x="15"/>
        <item h="1" x="5"/>
        <item h="1" x="16"/>
        <item h="1" x="17"/>
        <item h="1" x="6"/>
        <item h="1" x="7"/>
        <item t="default"/>
      </items>
    </pivotField>
    <pivotField showAll="0"/>
    <pivotField axis="axisRow" showAll="0">
      <items count="48">
        <item h="1" x="46"/>
        <item h="1" x="42"/>
        <item h="1" x="45"/>
        <item h="1" x="44"/>
        <item h="1" x="41"/>
        <item h="1" x="43"/>
        <item h="1" x="26"/>
        <item h="1" x="27"/>
        <item h="1" x="12"/>
        <item h="1" x="13"/>
        <item h="1" x="14"/>
        <item h="1" x="28"/>
        <item h="1" x="15"/>
        <item h="1" x="29"/>
        <item h="1" x="40"/>
        <item h="1" x="17"/>
        <item h="1" x="18"/>
        <item h="1" x="19"/>
        <item h="1" x="20"/>
        <item h="1" x="0"/>
        <item h="1" x="16"/>
        <item h="1" x="4"/>
        <item h="1" x="5"/>
        <item h="1" x="1"/>
        <item h="1" x="30"/>
        <item h="1" x="37"/>
        <item h="1" x="8"/>
        <item h="1" x="2"/>
        <item h="1" x="31"/>
        <item h="1" x="32"/>
        <item h="1" x="24"/>
        <item h="1" x="9"/>
        <item h="1" x="10"/>
        <item x="22"/>
        <item x="23"/>
        <item x="36"/>
        <item h="1" x="21"/>
        <item h="1" x="3"/>
        <item h="1" x="7"/>
        <item h="1" x="6"/>
        <item h="1" x="11"/>
        <item h="1" x="33"/>
        <item h="1" x="35"/>
        <item h="1" x="25"/>
        <item h="1" x="38"/>
        <item h="1" x="34"/>
        <item h="1" x="39"/>
        <item t="default"/>
      </items>
    </pivotField>
    <pivotField showAll="0"/>
    <pivotField showAll="0"/>
    <pivotField axis="axisCol" showAll="0">
      <items count="4">
        <item x="1"/>
        <item h="1" x="0"/>
        <item h="1" x="2"/>
        <item t="default"/>
      </items>
    </pivotField>
    <pivotField dataField="1" showAll="0"/>
  </pivotFields>
  <rowFields count="1">
    <field x="2"/>
  </rowFields>
  <rowItems count="4">
    <i>
      <x v="33"/>
    </i>
    <i>
      <x v="34"/>
    </i>
    <i>
      <x v="35"/>
    </i>
    <i t="grand">
      <x/>
    </i>
  </rowItems>
  <colFields count="1">
    <field x="5"/>
  </colFields>
  <colItems count="2">
    <i>
      <x/>
    </i>
    <i t="grand">
      <x/>
    </i>
  </colItems>
  <pageFields count="1">
    <pageField fld="0" hier="-1"/>
  </pageFields>
  <dataFields count="1">
    <dataField name="Sum of Value" fld="6" baseField="2" baseItem="0"/>
  </dataFields>
  <chartFormats count="20">
    <chartFormat chart="0" format="0" series="1">
      <pivotArea type="data" outline="0" fieldPosition="0">
        <references count="1">
          <reference field="5" count="1" selected="0">
            <x v="0"/>
          </reference>
        </references>
      </pivotArea>
    </chartFormat>
    <chartFormat chart="0" format="1" series="1">
      <pivotArea type="data" outline="0" fieldPosition="0">
        <references count="1">
          <reference field="5" count="1" selected="0">
            <x v="1"/>
          </reference>
        </references>
      </pivotArea>
    </chartFormat>
    <chartFormat chart="0" format="2" series="1">
      <pivotArea type="data" outline="0" fieldPosition="0">
        <references count="1">
          <reference field="5" count="1" selected="0">
            <x v="2"/>
          </reference>
        </references>
      </pivotArea>
    </chartFormat>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4" format="0" series="1">
      <pivotArea type="data" outline="0" fieldPosition="0">
        <references count="2">
          <reference field="4294967294" count="1" selected="0">
            <x v="0"/>
          </reference>
          <reference field="5" count="1" selected="0">
            <x v="0"/>
          </reference>
        </references>
      </pivotArea>
    </chartFormat>
    <chartFormat chart="4" format="1" series="1">
      <pivotArea type="data" outline="0" fieldPosition="0">
        <references count="2">
          <reference field="4294967294" count="1" selected="0">
            <x v="0"/>
          </reference>
          <reference field="5" count="1" selected="0">
            <x v="1"/>
          </reference>
        </references>
      </pivotArea>
    </chartFormat>
    <chartFormat chart="5" format="0" series="1">
      <pivotArea type="data" outline="0" fieldPosition="0">
        <references count="2">
          <reference field="4294967294" count="1" selected="0">
            <x v="0"/>
          </reference>
          <reference field="5" count="1" selected="0">
            <x v="0"/>
          </reference>
        </references>
      </pivotArea>
    </chartFormat>
    <chartFormat chart="5" format="1" series="1">
      <pivotArea type="data" outline="0" fieldPosition="0">
        <references count="2">
          <reference field="4294967294" count="1" selected="0">
            <x v="0"/>
          </reference>
          <reference field="5" count="1" selected="0">
            <x v="1"/>
          </reference>
        </references>
      </pivotArea>
    </chartFormat>
    <chartFormat chart="12" format="6" series="1">
      <pivotArea type="data" outline="0" fieldPosition="0">
        <references count="2">
          <reference field="4294967294" count="1" selected="0">
            <x v="0"/>
          </reference>
          <reference field="5" count="1" selected="0">
            <x v="0"/>
          </reference>
        </references>
      </pivotArea>
    </chartFormat>
    <chartFormat chart="12" format="7">
      <pivotArea type="data" outline="0" fieldPosition="0">
        <references count="3">
          <reference field="4294967294" count="1" selected="0">
            <x v="0"/>
          </reference>
          <reference field="2" count="1" selected="0">
            <x v="33"/>
          </reference>
          <reference field="5" count="1" selected="0">
            <x v="0"/>
          </reference>
        </references>
      </pivotArea>
    </chartFormat>
    <chartFormat chart="12" format="8">
      <pivotArea type="data" outline="0" fieldPosition="0">
        <references count="3">
          <reference field="4294967294" count="1" selected="0">
            <x v="0"/>
          </reference>
          <reference field="2" count="1" selected="0">
            <x v="34"/>
          </reference>
          <reference field="5" count="1" selected="0">
            <x v="0"/>
          </reference>
        </references>
      </pivotArea>
    </chartFormat>
    <chartFormat chart="12" format="9">
      <pivotArea type="data" outline="0" fieldPosition="0">
        <references count="3">
          <reference field="4294967294" count="1" selected="0">
            <x v="0"/>
          </reference>
          <reference field="2" count="1" selected="0">
            <x v="35"/>
          </reference>
          <reference field="5" count="1" selected="0">
            <x v="0"/>
          </reference>
        </references>
      </pivotArea>
    </chartFormat>
    <chartFormat chart="5" format="2">
      <pivotArea type="data" outline="0" fieldPosition="0">
        <references count="3">
          <reference field="4294967294" count="1" selected="0">
            <x v="0"/>
          </reference>
          <reference field="2" count="1" selected="0">
            <x v="33"/>
          </reference>
          <reference field="5" count="1" selected="0">
            <x v="0"/>
          </reference>
        </references>
      </pivotArea>
    </chartFormat>
    <chartFormat chart="5" format="3">
      <pivotArea type="data" outline="0" fieldPosition="0">
        <references count="3">
          <reference field="4294967294" count="1" selected="0">
            <x v="0"/>
          </reference>
          <reference field="2" count="1" selected="0">
            <x v="34"/>
          </reference>
          <reference field="5" count="1" selected="0">
            <x v="0"/>
          </reference>
        </references>
      </pivotArea>
    </chartFormat>
    <chartFormat chart="5" format="4">
      <pivotArea type="data" outline="0" fieldPosition="0">
        <references count="3">
          <reference field="4294967294" count="1" selected="0">
            <x v="0"/>
          </reference>
          <reference field="2" count="1" selected="0">
            <x v="35"/>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2AD0A50-6159-48D3-9A14-236E88F6C0B7}" name="AIR EMISS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9" firstHeaderRow="1" firstDataRow="2" firstDataCol="1" rowPageCount="1" colPageCount="1"/>
  <pivotFields count="7">
    <pivotField axis="axisPage" multipleItemSelectionAllowed="1" showAll="0">
      <items count="19">
        <item x="0"/>
        <item h="1" x="8"/>
        <item h="1" x="13"/>
        <item h="1" x="1"/>
        <item h="1" x="2"/>
        <item h="1" x="3"/>
        <item h="1" x="14"/>
        <item h="1" x="4"/>
        <item h="1" x="9"/>
        <item h="1" x="10"/>
        <item h="1" x="11"/>
        <item h="1" x="12"/>
        <item h="1" x="15"/>
        <item h="1" x="5"/>
        <item h="1" x="16"/>
        <item h="1" x="17"/>
        <item h="1" x="6"/>
        <item h="1" x="7"/>
        <item t="default"/>
      </items>
    </pivotField>
    <pivotField showAll="0"/>
    <pivotField axis="axisRow" showAll="0">
      <items count="48">
        <item x="46"/>
        <item x="42"/>
        <item x="45"/>
        <item x="44"/>
        <item x="41"/>
        <item x="43"/>
        <item x="26"/>
        <item x="27"/>
        <item x="12"/>
        <item x="13"/>
        <item x="14"/>
        <item x="28"/>
        <item x="15"/>
        <item x="29"/>
        <item x="40"/>
        <item x="17"/>
        <item x="18"/>
        <item x="19"/>
        <item x="20"/>
        <item x="0"/>
        <item x="16"/>
        <item x="4"/>
        <item x="5"/>
        <item x="1"/>
        <item x="30"/>
        <item x="37"/>
        <item x="8"/>
        <item x="2"/>
        <item x="31"/>
        <item x="32"/>
        <item x="24"/>
        <item x="9"/>
        <item x="10"/>
        <item x="22"/>
        <item x="23"/>
        <item x="36"/>
        <item x="21"/>
        <item x="3"/>
        <item x="7"/>
        <item x="6"/>
        <item x="11"/>
        <item x="33"/>
        <item x="35"/>
        <item x="25"/>
        <item x="38"/>
        <item x="34"/>
        <item x="39"/>
        <item t="default"/>
      </items>
    </pivotField>
    <pivotField showAll="0"/>
    <pivotField showAll="0"/>
    <pivotField axis="axisCol" showAll="0">
      <items count="4">
        <item x="1"/>
        <item x="0"/>
        <item h="1" x="2"/>
        <item t="default"/>
      </items>
    </pivotField>
    <pivotField dataField="1" showAll="0"/>
  </pivotFields>
  <rowFields count="1">
    <field x="2"/>
  </rowFields>
  <rowItems count="5">
    <i>
      <x v="19"/>
    </i>
    <i>
      <x v="23"/>
    </i>
    <i>
      <x v="27"/>
    </i>
    <i>
      <x v="37"/>
    </i>
    <i t="grand">
      <x/>
    </i>
  </rowItems>
  <colFields count="1">
    <field x="5"/>
  </colFields>
  <colItems count="3">
    <i>
      <x/>
    </i>
    <i>
      <x v="1"/>
    </i>
    <i t="grand">
      <x/>
    </i>
  </colItems>
  <pageFields count="1">
    <pageField fld="0" hier="-1"/>
  </pageFields>
  <dataFields count="1">
    <dataField name="Sum of Value" fld="6" baseField="2" baseItem="0"/>
  </dataFields>
  <chartFormats count="7">
    <chartFormat chart="0" format="0" series="1">
      <pivotArea type="data" outline="0" fieldPosition="0">
        <references count="1">
          <reference field="5" count="1" selected="0">
            <x v="0"/>
          </reference>
        </references>
      </pivotArea>
    </chartFormat>
    <chartFormat chart="0" format="1" series="1">
      <pivotArea type="data" outline="0" fieldPosition="0">
        <references count="1">
          <reference field="5" count="1" selected="0">
            <x v="1"/>
          </reference>
        </references>
      </pivotArea>
    </chartFormat>
    <chartFormat chart="0" format="2" series="1">
      <pivotArea type="data" outline="0" fieldPosition="0">
        <references count="1">
          <reference field="5" count="1" selected="0">
            <x v="2"/>
          </reference>
        </references>
      </pivotArea>
    </chartFormat>
    <chartFormat chart="2" format="5" series="1">
      <pivotArea type="data" outline="0" fieldPosition="0">
        <references count="2">
          <reference field="4294967294" count="1" selected="0">
            <x v="0"/>
          </reference>
          <reference field="5" count="1" selected="0">
            <x v="0"/>
          </reference>
        </references>
      </pivotArea>
    </chartFormat>
    <chartFormat chart="2" format="6" series="1">
      <pivotArea type="data" outline="0" fieldPosition="0">
        <references count="2">
          <reference field="4294967294" count="1" selected="0">
            <x v="0"/>
          </reference>
          <reference field="5" count="1" selected="0">
            <x v="1"/>
          </reference>
        </references>
      </pivotArea>
    </chartFormat>
    <chartFormat chart="0" format="3" series="1">
      <pivotArea type="data" outline="0" fieldPosition="0">
        <references count="2">
          <reference field="4294967294" count="1" selected="0">
            <x v="0"/>
          </reference>
          <reference field="5" count="1" selected="0">
            <x v="0"/>
          </reference>
        </references>
      </pivotArea>
    </chartFormat>
    <chartFormat chart="0" format="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D211447-8108-473C-8919-76D35BB78085}"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9:L46" firstHeaderRow="1" firstDataRow="1" firstDataCol="0"/>
  <pivotFields count="1">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66AE567-9585-465F-99F9-DEEA7D3CC45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L9" firstHeaderRow="1" firstDataRow="2" firstDataCol="1" rowPageCount="1" colPageCount="1"/>
  <pivotFields count="7">
    <pivotField axis="axisPage" multipleItemSelectionAllowed="1" showAll="0">
      <items count="19">
        <item h="1" x="0"/>
        <item h="1" x="8"/>
        <item h="1" x="13"/>
        <item h="1" x="1"/>
        <item h="1" x="2"/>
        <item h="1" x="3"/>
        <item h="1" x="14"/>
        <item h="1" x="4"/>
        <item h="1" x="9"/>
        <item h="1" x="10"/>
        <item h="1" x="11"/>
        <item h="1" x="12"/>
        <item h="1" x="15"/>
        <item h="1" x="5"/>
        <item h="1" x="16"/>
        <item h="1" x="17"/>
        <item x="6"/>
        <item h="1" x="7"/>
        <item t="default"/>
      </items>
    </pivotField>
    <pivotField showAll="0"/>
    <pivotField axis="axisRow" showAll="0">
      <items count="48">
        <item x="46"/>
        <item x="42"/>
        <item x="45"/>
        <item x="44"/>
        <item x="41"/>
        <item x="43"/>
        <item x="26"/>
        <item x="27"/>
        <item x="12"/>
        <item x="13"/>
        <item x="14"/>
        <item x="28"/>
        <item x="15"/>
        <item x="29"/>
        <item x="40"/>
        <item x="17"/>
        <item x="18"/>
        <item x="19"/>
        <item x="20"/>
        <item x="0"/>
        <item x="16"/>
        <item x="4"/>
        <item x="5"/>
        <item x="1"/>
        <item x="30"/>
        <item x="37"/>
        <item x="8"/>
        <item x="2"/>
        <item x="31"/>
        <item x="32"/>
        <item x="24"/>
        <item x="9"/>
        <item x="10"/>
        <item x="22"/>
        <item x="23"/>
        <item x="36"/>
        <item x="21"/>
        <item x="3"/>
        <item x="7"/>
        <item x="6"/>
        <item x="11"/>
        <item x="33"/>
        <item x="35"/>
        <item x="25"/>
        <item x="38"/>
        <item x="34"/>
        <item x="39"/>
        <item t="default"/>
      </items>
    </pivotField>
    <pivotField showAll="0"/>
    <pivotField showAll="0"/>
    <pivotField axis="axisCol" showAll="0">
      <items count="4">
        <item x="1"/>
        <item x="0"/>
        <item x="2"/>
        <item t="default"/>
      </items>
    </pivotField>
    <pivotField dataField="1" showAll="0"/>
  </pivotFields>
  <rowFields count="1">
    <field x="2"/>
  </rowFields>
  <rowItems count="4">
    <i>
      <x v="41"/>
    </i>
    <i>
      <x v="42"/>
    </i>
    <i>
      <x v="45"/>
    </i>
    <i t="grand">
      <x/>
    </i>
  </rowItems>
  <colFields count="1">
    <field x="5"/>
  </colFields>
  <colItems count="3">
    <i>
      <x/>
    </i>
    <i>
      <x v="1"/>
    </i>
    <i t="grand">
      <x/>
    </i>
  </colItems>
  <pageFields count="1">
    <pageField fld="0" hier="-1"/>
  </pageFields>
  <dataFields count="1">
    <dataField name="Sum of Value" fld="6" baseField="2" baseItem="4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024B31F2-D4CA-452F-A861-F0745D06141B}" sourceName="Year">
  <pivotTables>
    <pivotTable tabId="5" name="WASTE"/>
    <pivotTable tabId="5" name="AIR EMISSION"/>
    <pivotTable tabId="5" name="ENERGY"/>
    <pivotTable tabId="5" name="GHG"/>
    <pivotTable tabId="5" name="WATER"/>
  </pivotTables>
  <data>
    <tabular pivotCacheId="1606777834">
      <items count="3">
        <i x="1" s="1"/>
        <i x="0" s="1"/>
        <i x="2"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PI_Category" xr10:uid="{4C446F39-0AD3-4321-A9B4-F03C786DCC64}" sourceName="KPI Category">
  <pivotTables>
    <pivotTable tabId="5" name="WASTE"/>
    <pivotTable tabId="5" name="WASTE1"/>
  </pivotTables>
  <data>
    <tabular pivotCacheId="1606777834">
      <items count="18">
        <i x="0"/>
        <i x="1"/>
        <i x="2"/>
        <i x="3"/>
        <i x="4"/>
        <i x="5" s="1"/>
        <i x="6"/>
        <i x="8" nd="1"/>
        <i x="13" nd="1"/>
        <i x="14" nd="1"/>
        <i x="9" nd="1"/>
        <i x="10" nd="1"/>
        <i x="11" nd="1"/>
        <i x="12" nd="1"/>
        <i x="15" nd="1"/>
        <i x="16" nd="1"/>
        <i x="17" nd="1"/>
        <i x="7"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18D4C7B8-2515-4AB6-B201-269D47BEABEE}" cache="Slicer_Year1" caption="Year"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6D1D1C5-DD19-4BFA-9B4A-294FE65A1D98}" cache="Slicer_Year1" caption="Year" rowHeight="234950"/>
  <slicer name="KPI Category" xr10:uid="{64B473C2-C1D1-4A1B-943B-91B060515286}" cache="Slicer_KPI_Category" caption="KPI 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DASHBOARD" displayName="TBLDASHBOARD" ref="A1:G78" totalsRowShown="0">
  <autoFilter ref="A1:G78" xr:uid="{00000000-0009-0000-0100-000001000000}"/>
  <tableColumns count="7">
    <tableColumn id="1" xr3:uid="{00000000-0010-0000-0000-000001000000}" name="KPI Category"/>
    <tableColumn id="2" xr3:uid="{00000000-0010-0000-0000-000002000000}" name="Sub Category"/>
    <tableColumn id="3" xr3:uid="{00000000-0010-0000-0000-000003000000}" name="KPI"/>
    <tableColumn id="4" xr3:uid="{00000000-0010-0000-0000-000004000000}" name="Unit"/>
    <tableColumn id="5" xr3:uid="{00000000-0010-0000-0000-000005000000}" name="Source Page"/>
    <tableColumn id="6" xr3:uid="{00000000-0010-0000-0000-000006000000}" name="Year"/>
    <tableColumn id="7" xr3:uid="{00000000-0010-0000-0000-000007000000}" name="Valu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2.xml"/><Relationship Id="rId4" Type="http://schemas.openxmlformats.org/officeDocument/2006/relationships/pivotTable" Target="../pivotTables/pivotTable4.xml"/><Relationship Id="rId9"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comments" Target="../comments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26"/>
  <sheetViews>
    <sheetView showGridLines="0" showRowColHeaders="0" tabSelected="1" zoomScale="70" zoomScaleNormal="70" workbookViewId="0">
      <selection activeCell="AC1" sqref="A1:AC47"/>
    </sheetView>
  </sheetViews>
  <sheetFormatPr defaultColWidth="8.88671875" defaultRowHeight="14.4" x14ac:dyDescent="0.3"/>
  <cols>
    <col min="1" max="26" width="8.88671875" style="1"/>
    <col min="27" max="27" width="8.88671875" style="1" customWidth="1"/>
    <col min="28" max="28" width="0" style="1" hidden="1" customWidth="1"/>
    <col min="29" max="16384" width="8.88671875" style="1"/>
  </cols>
  <sheetData>
    <row r="1" spans="1:30" s="6" customFormat="1" ht="25.5" customHeight="1" x14ac:dyDescent="0.3">
      <c r="A1" s="34" t="s">
        <v>102</v>
      </c>
      <c r="B1" s="35"/>
      <c r="C1" s="35"/>
      <c r="D1" s="35"/>
      <c r="E1" s="35"/>
      <c r="F1" s="35"/>
      <c r="G1" s="35"/>
      <c r="H1" s="35"/>
      <c r="I1" s="35"/>
      <c r="J1" s="35"/>
      <c r="K1" s="35"/>
      <c r="L1" s="35"/>
      <c r="M1" s="35"/>
      <c r="N1" s="35"/>
      <c r="O1" s="35"/>
      <c r="P1" s="35"/>
      <c r="Q1" s="35"/>
      <c r="R1" s="35"/>
      <c r="S1" s="35"/>
      <c r="T1" s="35"/>
      <c r="U1" s="35"/>
      <c r="V1" s="35"/>
      <c r="W1" s="35"/>
      <c r="X1" s="35"/>
      <c r="Y1" s="35"/>
      <c r="Z1" s="35"/>
      <c r="AA1" s="35"/>
      <c r="AB1" s="22"/>
      <c r="AC1" s="23"/>
      <c r="AD1" s="22"/>
    </row>
    <row r="2" spans="1:30" s="6" customFormat="1" ht="25.5" customHeight="1" x14ac:dyDescent="0.3">
      <c r="A2" s="36"/>
      <c r="B2" s="35"/>
      <c r="C2" s="35"/>
      <c r="D2" s="35"/>
      <c r="E2" s="35"/>
      <c r="F2" s="35"/>
      <c r="G2" s="35"/>
      <c r="H2" s="35"/>
      <c r="I2" s="35"/>
      <c r="J2" s="35"/>
      <c r="K2" s="35"/>
      <c r="L2" s="35"/>
      <c r="M2" s="35"/>
      <c r="N2" s="35"/>
      <c r="O2" s="35"/>
      <c r="P2" s="35"/>
      <c r="Q2" s="35"/>
      <c r="R2" s="35"/>
      <c r="S2" s="35"/>
      <c r="T2" s="35"/>
      <c r="U2" s="35"/>
      <c r="V2" s="35"/>
      <c r="W2" s="35"/>
      <c r="X2" s="35"/>
      <c r="Y2" s="35"/>
      <c r="Z2" s="35"/>
      <c r="AA2" s="35"/>
      <c r="AB2" s="22"/>
      <c r="AC2" s="23"/>
      <c r="AD2" s="22"/>
    </row>
    <row r="3" spans="1:30" s="7" customFormat="1" ht="14.25" customHeight="1" x14ac:dyDescent="0.3">
      <c r="A3" s="20"/>
      <c r="B3" s="21"/>
      <c r="C3" s="21"/>
      <c r="D3" s="21"/>
      <c r="E3" s="21"/>
      <c r="F3" s="21"/>
      <c r="G3" s="21"/>
      <c r="H3" s="21"/>
      <c r="I3" s="21"/>
      <c r="J3" s="21"/>
      <c r="K3" s="21"/>
      <c r="L3" s="21"/>
      <c r="M3" s="21"/>
      <c r="N3" s="21"/>
      <c r="O3" s="21"/>
      <c r="P3" s="21"/>
      <c r="Q3" s="21"/>
      <c r="R3" s="21"/>
      <c r="S3" s="21"/>
      <c r="T3" s="21"/>
      <c r="U3" s="21"/>
      <c r="V3" s="21"/>
      <c r="W3" s="21"/>
      <c r="X3" s="21"/>
      <c r="Y3" s="21"/>
      <c r="Z3" s="21"/>
      <c r="AA3" s="21"/>
      <c r="AB3" s="22"/>
      <c r="AC3" s="22"/>
      <c r="AD3" s="22"/>
    </row>
    <row r="4" spans="1:30" s="7" customFormat="1" ht="25.5" customHeight="1" x14ac:dyDescent="0.3">
      <c r="A4" s="6"/>
      <c r="B4" s="6"/>
      <c r="C4" s="6"/>
    </row>
    <row r="5" spans="1:30" ht="25.5" customHeight="1" x14ac:dyDescent="0.5">
      <c r="A5" s="6"/>
      <c r="B5" s="6"/>
      <c r="C5" s="6"/>
      <c r="D5" s="2"/>
      <c r="E5" s="2"/>
      <c r="F5" s="2"/>
      <c r="G5" s="2"/>
      <c r="H5" s="2"/>
      <c r="I5" s="2"/>
      <c r="J5" s="2"/>
      <c r="K5" s="2"/>
      <c r="L5" s="2"/>
      <c r="M5" s="2"/>
      <c r="N5" s="2"/>
      <c r="O5" s="2"/>
    </row>
    <row r="6" spans="1:30" ht="25.5" customHeight="1" x14ac:dyDescent="0.5">
      <c r="A6" s="6"/>
      <c r="B6" s="6"/>
      <c r="C6" s="6"/>
      <c r="D6" s="2"/>
      <c r="E6" s="2"/>
      <c r="F6" s="2"/>
      <c r="G6" s="2"/>
      <c r="H6" s="2"/>
      <c r="I6" s="2"/>
      <c r="J6" s="2"/>
      <c r="K6" s="2"/>
      <c r="L6" s="2"/>
      <c r="M6" s="2"/>
      <c r="N6" s="2"/>
      <c r="O6" s="2"/>
    </row>
    <row r="7" spans="1:30" ht="14.4" customHeight="1" x14ac:dyDescent="0.3">
      <c r="A7" s="6"/>
      <c r="B7" s="6"/>
      <c r="C7" s="6"/>
    </row>
    <row r="8" spans="1:30" ht="15" customHeight="1" x14ac:dyDescent="0.3">
      <c r="A8" s="6"/>
      <c r="B8" s="6"/>
      <c r="C8" s="6"/>
    </row>
    <row r="9" spans="1:30" ht="15" thickBot="1" x14ac:dyDescent="0.35"/>
    <row r="10" spans="1:30" x14ac:dyDescent="0.3">
      <c r="Q10" s="19"/>
      <c r="R10" s="19"/>
      <c r="S10" s="25"/>
      <c r="T10" s="26"/>
      <c r="U10" s="26"/>
      <c r="V10" s="26"/>
      <c r="W10" s="26"/>
      <c r="X10" s="26"/>
      <c r="Y10" s="26"/>
      <c r="Z10" s="26"/>
      <c r="AA10" s="27"/>
    </row>
    <row r="11" spans="1:30" x14ac:dyDescent="0.3">
      <c r="Q11" s="19"/>
      <c r="R11" s="19"/>
      <c r="S11" s="28"/>
      <c r="T11" s="29"/>
      <c r="U11" s="29"/>
      <c r="V11" s="29"/>
      <c r="W11" s="29"/>
      <c r="X11" s="29"/>
      <c r="Y11" s="29"/>
      <c r="Z11" s="29"/>
      <c r="AA11" s="30"/>
    </row>
    <row r="12" spans="1:30" x14ac:dyDescent="0.3">
      <c r="Q12" s="19"/>
      <c r="R12" s="19"/>
      <c r="S12" s="28"/>
      <c r="T12" s="29"/>
      <c r="U12" s="29"/>
      <c r="V12" s="29"/>
      <c r="W12" s="29"/>
      <c r="X12" s="29"/>
      <c r="Y12" s="29"/>
      <c r="Z12" s="29"/>
      <c r="AA12" s="30"/>
    </row>
    <row r="13" spans="1:30" x14ac:dyDescent="0.3">
      <c r="Q13" s="19"/>
      <c r="R13" s="19"/>
      <c r="S13" s="28"/>
      <c r="T13" s="29"/>
      <c r="U13" s="29"/>
      <c r="V13" s="29"/>
      <c r="W13" s="29"/>
      <c r="X13" s="29"/>
      <c r="Y13" s="29"/>
      <c r="Z13" s="29"/>
      <c r="AA13" s="30"/>
    </row>
    <row r="14" spans="1:30" x14ac:dyDescent="0.3">
      <c r="Q14" s="19"/>
      <c r="R14" s="19"/>
      <c r="S14" s="28"/>
      <c r="T14" s="29"/>
      <c r="U14" s="29"/>
      <c r="V14" s="29"/>
      <c r="W14" s="29"/>
      <c r="X14" s="29"/>
      <c r="Y14" s="29"/>
      <c r="Z14" s="29"/>
      <c r="AA14" s="30"/>
    </row>
    <row r="15" spans="1:30" x14ac:dyDescent="0.3">
      <c r="Q15" s="19"/>
      <c r="R15" s="19"/>
      <c r="S15" s="28"/>
      <c r="T15" s="29"/>
      <c r="U15" s="29"/>
      <c r="V15" s="29"/>
      <c r="W15" s="29"/>
      <c r="X15" s="29"/>
      <c r="Y15" s="29"/>
      <c r="Z15" s="29"/>
      <c r="AA15" s="30"/>
    </row>
    <row r="16" spans="1:30" x14ac:dyDescent="0.3">
      <c r="Q16" s="19"/>
      <c r="R16" s="19"/>
      <c r="S16" s="28"/>
      <c r="T16" s="29"/>
      <c r="U16" s="29"/>
      <c r="V16" s="29"/>
      <c r="W16" s="29"/>
      <c r="X16" s="29"/>
      <c r="Y16" s="29"/>
      <c r="Z16" s="29"/>
      <c r="AA16" s="30"/>
    </row>
    <row r="17" spans="17:33" x14ac:dyDescent="0.3">
      <c r="Q17" s="19"/>
      <c r="R17" s="19"/>
      <c r="S17" s="28"/>
      <c r="T17" s="29"/>
      <c r="U17" s="29"/>
      <c r="V17" s="29"/>
      <c r="W17" s="29"/>
      <c r="X17" s="29"/>
      <c r="Y17" s="29"/>
      <c r="Z17" s="29"/>
      <c r="AA17" s="30"/>
    </row>
    <row r="18" spans="17:33" x14ac:dyDescent="0.3">
      <c r="Q18" s="19"/>
      <c r="R18" s="19"/>
      <c r="S18" s="28"/>
      <c r="T18" s="29"/>
      <c r="U18" s="29"/>
      <c r="V18" s="29"/>
      <c r="W18" s="29"/>
      <c r="X18" s="29"/>
      <c r="Y18" s="29"/>
      <c r="Z18" s="29"/>
      <c r="AA18" s="30"/>
    </row>
    <row r="19" spans="17:33" x14ac:dyDescent="0.3">
      <c r="Q19" s="19"/>
      <c r="R19" s="19"/>
      <c r="S19" s="28"/>
      <c r="T19" s="29"/>
      <c r="U19" s="29"/>
      <c r="V19" s="29"/>
      <c r="W19" s="29"/>
      <c r="X19" s="29"/>
      <c r="Y19" s="29"/>
      <c r="Z19" s="29"/>
      <c r="AA19" s="30"/>
    </row>
    <row r="20" spans="17:33" x14ac:dyDescent="0.3">
      <c r="Q20" s="19"/>
      <c r="R20" s="19"/>
      <c r="S20" s="28"/>
      <c r="T20" s="29"/>
      <c r="U20" s="29"/>
      <c r="V20" s="29"/>
      <c r="W20" s="29"/>
      <c r="X20" s="29"/>
      <c r="Y20" s="29"/>
      <c r="Z20" s="29"/>
      <c r="AA20" s="30"/>
    </row>
    <row r="21" spans="17:33" x14ac:dyDescent="0.3">
      <c r="Q21" s="19"/>
      <c r="R21" s="19"/>
      <c r="S21" s="28"/>
      <c r="T21" s="29"/>
      <c r="U21" s="29"/>
      <c r="V21" s="29"/>
      <c r="W21" s="29"/>
      <c r="X21" s="29"/>
      <c r="Y21" s="29"/>
      <c r="Z21" s="29"/>
      <c r="AA21" s="30"/>
    </row>
    <row r="22" spans="17:33" x14ac:dyDescent="0.3">
      <c r="Q22" s="19"/>
      <c r="R22" s="19"/>
      <c r="S22" s="28"/>
      <c r="T22" s="29"/>
      <c r="U22" s="29"/>
      <c r="V22" s="29"/>
      <c r="W22" s="29"/>
      <c r="X22" s="29"/>
      <c r="Y22" s="29"/>
      <c r="Z22" s="29"/>
      <c r="AA22" s="30"/>
    </row>
    <row r="23" spans="17:33" x14ac:dyDescent="0.3">
      <c r="Q23" s="19"/>
      <c r="R23" s="19"/>
      <c r="S23" s="28"/>
      <c r="T23" s="29"/>
      <c r="U23" s="29"/>
      <c r="V23" s="29"/>
      <c r="W23" s="29"/>
      <c r="X23" s="29"/>
      <c r="Y23" s="29"/>
      <c r="Z23" s="29"/>
      <c r="AA23" s="30"/>
      <c r="AG23" s="24"/>
    </row>
    <row r="24" spans="17:33" x14ac:dyDescent="0.3">
      <c r="Q24" s="19"/>
      <c r="R24" s="19"/>
      <c r="S24" s="28"/>
      <c r="T24" s="29"/>
      <c r="U24" s="29"/>
      <c r="V24" s="29"/>
      <c r="W24" s="29"/>
      <c r="X24" s="29"/>
      <c r="Y24" s="29"/>
      <c r="Z24" s="29"/>
      <c r="AA24" s="30"/>
    </row>
    <row r="25" spans="17:33" x14ac:dyDescent="0.3">
      <c r="Q25" s="19"/>
      <c r="R25" s="19"/>
      <c r="S25" s="28"/>
      <c r="T25" s="29"/>
      <c r="U25" s="29"/>
      <c r="V25" s="29"/>
      <c r="W25" s="29"/>
      <c r="X25" s="29"/>
      <c r="Y25" s="29"/>
      <c r="Z25" s="29"/>
      <c r="AA25" s="30"/>
    </row>
    <row r="26" spans="17:33" ht="15" thickBot="1" x14ac:dyDescent="0.35">
      <c r="Q26" s="19"/>
      <c r="R26" s="19"/>
      <c r="S26" s="31"/>
      <c r="T26" s="32"/>
      <c r="U26" s="32"/>
      <c r="V26" s="32"/>
      <c r="W26" s="32"/>
      <c r="X26" s="32"/>
      <c r="Y26" s="32"/>
      <c r="Z26" s="32"/>
      <c r="AA26" s="33"/>
    </row>
  </sheetData>
  <mergeCells count="2">
    <mergeCell ref="S10:AA26"/>
    <mergeCell ref="A1:AA2"/>
  </mergeCells>
  <pageMargins left="0.23622047244094491" right="0.23622047244094491" top="0.74803149606299213" bottom="0.74803149606299213" header="0.31496062992125984" footer="0.31496062992125984"/>
  <pageSetup paperSize="9" scale="58" orientation="landscape" horizontalDpi="300" verticalDpi="30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8B621-BDC7-4B19-94CC-A4F4618A61A2}">
  <dimension ref="A1:O117"/>
  <sheetViews>
    <sheetView topLeftCell="A96" workbookViewId="0">
      <selection activeCell="AD26" sqref="AD26"/>
    </sheetView>
  </sheetViews>
  <sheetFormatPr defaultRowHeight="14.4" x14ac:dyDescent="0.3"/>
  <cols>
    <col min="1" max="1" width="22.33203125" bestFit="1" customWidth="1"/>
    <col min="2" max="2" width="15.5546875" bestFit="1" customWidth="1"/>
    <col min="3" max="3" width="9.5546875" bestFit="1" customWidth="1"/>
    <col min="4" max="5" width="10.77734375" bestFit="1" customWidth="1"/>
    <col min="13" max="13" width="15.77734375" bestFit="1" customWidth="1"/>
    <col min="14" max="14" width="15.5546875" bestFit="1" customWidth="1"/>
    <col min="15" max="15" width="10.77734375" bestFit="1" customWidth="1"/>
  </cols>
  <sheetData>
    <row r="1" spans="1:4" x14ac:dyDescent="0.3">
      <c r="A1" s="17" t="s">
        <v>0</v>
      </c>
      <c r="B1" t="s">
        <v>7</v>
      </c>
    </row>
    <row r="3" spans="1:4" x14ac:dyDescent="0.3">
      <c r="A3" s="17" t="s">
        <v>17</v>
      </c>
      <c r="B3" s="17" t="s">
        <v>101</v>
      </c>
    </row>
    <row r="4" spans="1:4" x14ac:dyDescent="0.3">
      <c r="A4" s="17" t="s">
        <v>99</v>
      </c>
      <c r="B4" t="s">
        <v>20</v>
      </c>
      <c r="C4" t="s">
        <v>11</v>
      </c>
      <c r="D4" t="s">
        <v>100</v>
      </c>
    </row>
    <row r="5" spans="1:4" x14ac:dyDescent="0.3">
      <c r="A5" s="18" t="s">
        <v>9</v>
      </c>
      <c r="B5">
        <v>7.8</v>
      </c>
      <c r="C5">
        <v>6.9</v>
      </c>
      <c r="D5">
        <v>14.7</v>
      </c>
    </row>
    <row r="6" spans="1:4" x14ac:dyDescent="0.3">
      <c r="A6" s="18" t="s">
        <v>14</v>
      </c>
      <c r="B6">
        <v>2064</v>
      </c>
      <c r="C6">
        <v>2006</v>
      </c>
      <c r="D6">
        <v>4070</v>
      </c>
    </row>
    <row r="7" spans="1:4" x14ac:dyDescent="0.3">
      <c r="A7" s="18" t="s">
        <v>16</v>
      </c>
      <c r="B7">
        <v>553</v>
      </c>
      <c r="C7">
        <v>594</v>
      </c>
      <c r="D7">
        <v>1147</v>
      </c>
    </row>
    <row r="8" spans="1:4" x14ac:dyDescent="0.3">
      <c r="A8" s="18" t="s">
        <v>19</v>
      </c>
      <c r="B8">
        <v>2287</v>
      </c>
      <c r="C8">
        <v>1700</v>
      </c>
      <c r="D8">
        <v>3987</v>
      </c>
    </row>
    <row r="9" spans="1:4" x14ac:dyDescent="0.3">
      <c r="A9" s="18" t="s">
        <v>100</v>
      </c>
      <c r="B9">
        <v>4911.8</v>
      </c>
      <c r="C9">
        <v>4306.8999999999996</v>
      </c>
      <c r="D9">
        <v>9218.7000000000007</v>
      </c>
    </row>
    <row r="18" spans="1:4" x14ac:dyDescent="0.3">
      <c r="A18" s="17" t="s">
        <v>0</v>
      </c>
      <c r="B18" t="s">
        <v>12</v>
      </c>
    </row>
    <row r="20" spans="1:4" x14ac:dyDescent="0.3">
      <c r="A20" s="17" t="s">
        <v>17</v>
      </c>
      <c r="B20" s="17" t="s">
        <v>101</v>
      </c>
    </row>
    <row r="21" spans="1:4" x14ac:dyDescent="0.3">
      <c r="A21" s="17" t="s">
        <v>99</v>
      </c>
      <c r="B21" t="s">
        <v>20</v>
      </c>
      <c r="C21" t="s">
        <v>11</v>
      </c>
      <c r="D21" t="s">
        <v>100</v>
      </c>
    </row>
    <row r="22" spans="1:4" x14ac:dyDescent="0.3">
      <c r="A22" s="18" t="s">
        <v>28</v>
      </c>
      <c r="B22">
        <v>25791</v>
      </c>
      <c r="C22">
        <v>24025</v>
      </c>
      <c r="D22">
        <v>49816</v>
      </c>
    </row>
    <row r="23" spans="1:4" x14ac:dyDescent="0.3">
      <c r="A23" s="18" t="s">
        <v>25</v>
      </c>
      <c r="B23">
        <v>12357</v>
      </c>
      <c r="C23">
        <v>11691</v>
      </c>
      <c r="D23">
        <v>24048</v>
      </c>
    </row>
    <row r="24" spans="1:4" x14ac:dyDescent="0.3">
      <c r="A24" s="18" t="s">
        <v>32</v>
      </c>
      <c r="B24">
        <v>13434</v>
      </c>
      <c r="C24">
        <v>12334</v>
      </c>
      <c r="D24">
        <v>25768</v>
      </c>
    </row>
    <row r="25" spans="1:4" x14ac:dyDescent="0.3">
      <c r="A25" s="18" t="s">
        <v>100</v>
      </c>
      <c r="B25">
        <v>51582</v>
      </c>
      <c r="C25">
        <v>48050</v>
      </c>
      <c r="D25">
        <v>99632</v>
      </c>
    </row>
    <row r="35" spans="1:4" x14ac:dyDescent="0.3">
      <c r="A35" s="17" t="s">
        <v>0</v>
      </c>
      <c r="B35" t="s">
        <v>50</v>
      </c>
    </row>
    <row r="37" spans="1:4" x14ac:dyDescent="0.3">
      <c r="A37" s="17" t="s">
        <v>17</v>
      </c>
      <c r="B37" s="17" t="s">
        <v>101</v>
      </c>
    </row>
    <row r="38" spans="1:4" x14ac:dyDescent="0.3">
      <c r="A38" s="17" t="s">
        <v>99</v>
      </c>
      <c r="B38" t="s">
        <v>20</v>
      </c>
      <c r="C38" t="s">
        <v>11</v>
      </c>
      <c r="D38" t="s">
        <v>100</v>
      </c>
    </row>
    <row r="39" spans="1:4" x14ac:dyDescent="0.3">
      <c r="A39" s="18" t="s">
        <v>52</v>
      </c>
      <c r="B39">
        <v>0.18</v>
      </c>
      <c r="C39">
        <v>0.16</v>
      </c>
      <c r="D39">
        <v>0.33999999999999997</v>
      </c>
    </row>
    <row r="40" spans="1:4" x14ac:dyDescent="0.3">
      <c r="A40" s="18" t="s">
        <v>54</v>
      </c>
      <c r="B40">
        <v>34.9</v>
      </c>
      <c r="C40">
        <v>29.8</v>
      </c>
      <c r="D40">
        <v>64.7</v>
      </c>
    </row>
    <row r="41" spans="1:4" x14ac:dyDescent="0.3">
      <c r="A41" s="18" t="s">
        <v>56</v>
      </c>
      <c r="B41">
        <v>1.06</v>
      </c>
      <c r="C41">
        <v>1.01</v>
      </c>
      <c r="D41">
        <v>2.0700000000000003</v>
      </c>
    </row>
    <row r="42" spans="1:4" x14ac:dyDescent="0.3">
      <c r="A42" s="18" t="s">
        <v>57</v>
      </c>
      <c r="B42">
        <v>16.899999999999999</v>
      </c>
      <c r="C42">
        <v>14.6</v>
      </c>
      <c r="D42">
        <v>31.5</v>
      </c>
    </row>
    <row r="43" spans="1:4" x14ac:dyDescent="0.3">
      <c r="A43" s="18" t="s">
        <v>100</v>
      </c>
      <c r="B43">
        <v>53.04</v>
      </c>
      <c r="C43">
        <v>45.57</v>
      </c>
      <c r="D43">
        <v>98.610000000000014</v>
      </c>
    </row>
    <row r="53" spans="1:4" x14ac:dyDescent="0.3">
      <c r="A53" s="17" t="s">
        <v>0</v>
      </c>
      <c r="B53" t="s">
        <v>69</v>
      </c>
    </row>
    <row r="55" spans="1:4" x14ac:dyDescent="0.3">
      <c r="A55" s="17" t="s">
        <v>17</v>
      </c>
      <c r="B55" s="17" t="s">
        <v>101</v>
      </c>
    </row>
    <row r="56" spans="1:4" x14ac:dyDescent="0.3">
      <c r="A56" s="17" t="s">
        <v>99</v>
      </c>
      <c r="B56" t="s">
        <v>20</v>
      </c>
      <c r="C56" t="s">
        <v>11</v>
      </c>
      <c r="D56" t="s">
        <v>100</v>
      </c>
    </row>
    <row r="57" spans="1:4" x14ac:dyDescent="0.3">
      <c r="A57" s="18" t="s">
        <v>71</v>
      </c>
      <c r="B57">
        <v>0.23</v>
      </c>
      <c r="C57">
        <v>0.25</v>
      </c>
      <c r="D57">
        <v>0.48</v>
      </c>
    </row>
    <row r="58" spans="1:4" x14ac:dyDescent="0.3">
      <c r="A58" s="18" t="s">
        <v>73</v>
      </c>
      <c r="B58">
        <v>0.02</v>
      </c>
      <c r="C58">
        <v>0.02</v>
      </c>
      <c r="D58">
        <v>0.04</v>
      </c>
    </row>
    <row r="59" spans="1:4" x14ac:dyDescent="0.3">
      <c r="A59" s="18" t="s">
        <v>74</v>
      </c>
      <c r="B59">
        <v>6.1</v>
      </c>
      <c r="C59">
        <v>6.4</v>
      </c>
      <c r="D59">
        <v>12.5</v>
      </c>
    </row>
    <row r="60" spans="1:4" x14ac:dyDescent="0.3">
      <c r="A60" s="18" t="s">
        <v>75</v>
      </c>
      <c r="B60">
        <v>0.08</v>
      </c>
      <c r="C60">
        <v>0.08</v>
      </c>
      <c r="D60">
        <v>0.16</v>
      </c>
    </row>
    <row r="61" spans="1:4" x14ac:dyDescent="0.3">
      <c r="A61" s="18" t="s">
        <v>76</v>
      </c>
      <c r="B61">
        <v>22.5</v>
      </c>
      <c r="C61">
        <v>24.3</v>
      </c>
      <c r="D61">
        <v>46.8</v>
      </c>
    </row>
    <row r="62" spans="1:4" x14ac:dyDescent="0.3">
      <c r="A62" s="18" t="s">
        <v>100</v>
      </c>
      <c r="B62">
        <v>28.93</v>
      </c>
      <c r="C62">
        <v>31.05</v>
      </c>
      <c r="D62">
        <v>59.98</v>
      </c>
    </row>
    <row r="70" spans="1:4" x14ac:dyDescent="0.3">
      <c r="A70" s="17" t="s">
        <v>0</v>
      </c>
      <c r="B70" t="s">
        <v>79</v>
      </c>
    </row>
    <row r="72" spans="1:4" x14ac:dyDescent="0.3">
      <c r="A72" s="17" t="s">
        <v>17</v>
      </c>
      <c r="B72" s="17" t="s">
        <v>101</v>
      </c>
    </row>
    <row r="73" spans="1:4" x14ac:dyDescent="0.3">
      <c r="A73" s="17" t="s">
        <v>99</v>
      </c>
      <c r="B73" t="s">
        <v>20</v>
      </c>
      <c r="C73" t="s">
        <v>11</v>
      </c>
      <c r="D73" t="s">
        <v>100</v>
      </c>
    </row>
    <row r="74" spans="1:4" x14ac:dyDescent="0.3">
      <c r="A74" s="18" t="s">
        <v>81</v>
      </c>
      <c r="B74">
        <v>10.5</v>
      </c>
      <c r="C74">
        <v>11</v>
      </c>
      <c r="D74">
        <v>21.5</v>
      </c>
    </row>
    <row r="75" spans="1:4" x14ac:dyDescent="0.3">
      <c r="A75" s="18" t="s">
        <v>86</v>
      </c>
      <c r="B75">
        <v>31.2</v>
      </c>
      <c r="C75">
        <v>30.1</v>
      </c>
      <c r="D75">
        <v>61.3</v>
      </c>
    </row>
    <row r="76" spans="1:4" x14ac:dyDescent="0.3">
      <c r="A76" s="18" t="s">
        <v>83</v>
      </c>
      <c r="B76">
        <v>142</v>
      </c>
      <c r="C76">
        <v>134</v>
      </c>
      <c r="D76">
        <v>276</v>
      </c>
    </row>
    <row r="77" spans="1:4" x14ac:dyDescent="0.3">
      <c r="A77" s="18" t="s">
        <v>100</v>
      </c>
      <c r="B77">
        <v>183.7</v>
      </c>
      <c r="C77">
        <v>175.1</v>
      </c>
      <c r="D77">
        <v>358.8</v>
      </c>
    </row>
    <row r="87" spans="1:15" x14ac:dyDescent="0.3">
      <c r="A87" s="17" t="s">
        <v>0</v>
      </c>
      <c r="B87" t="s">
        <v>50</v>
      </c>
      <c r="M87" s="17" t="s">
        <v>0</v>
      </c>
      <c r="N87" t="s">
        <v>50</v>
      </c>
    </row>
    <row r="89" spans="1:15" x14ac:dyDescent="0.3">
      <c r="A89" s="17" t="s">
        <v>17</v>
      </c>
      <c r="B89" s="17" t="s">
        <v>101</v>
      </c>
      <c r="M89" s="17" t="s">
        <v>17</v>
      </c>
      <c r="N89" s="17" t="s">
        <v>101</v>
      </c>
    </row>
    <row r="90" spans="1:15" x14ac:dyDescent="0.3">
      <c r="A90" s="17" t="s">
        <v>99</v>
      </c>
      <c r="B90" t="s">
        <v>20</v>
      </c>
      <c r="C90" t="s">
        <v>100</v>
      </c>
      <c r="M90" s="17" t="s">
        <v>99</v>
      </c>
      <c r="N90" t="s">
        <v>11</v>
      </c>
      <c r="O90" t="s">
        <v>100</v>
      </c>
    </row>
    <row r="91" spans="1:15" x14ac:dyDescent="0.3">
      <c r="A91" s="18" t="s">
        <v>61</v>
      </c>
      <c r="B91">
        <v>1101</v>
      </c>
      <c r="C91">
        <v>1101</v>
      </c>
      <c r="M91" s="18" t="s">
        <v>61</v>
      </c>
      <c r="N91">
        <v>1045</v>
      </c>
      <c r="O91">
        <v>1045</v>
      </c>
    </row>
    <row r="92" spans="1:15" x14ac:dyDescent="0.3">
      <c r="A92" s="18" t="s">
        <v>64</v>
      </c>
      <c r="B92">
        <v>153</v>
      </c>
      <c r="C92">
        <v>153</v>
      </c>
      <c r="M92" s="18" t="s">
        <v>64</v>
      </c>
      <c r="N92">
        <v>151</v>
      </c>
      <c r="O92">
        <v>151</v>
      </c>
    </row>
    <row r="93" spans="1:15" x14ac:dyDescent="0.3">
      <c r="A93" s="18" t="s">
        <v>88</v>
      </c>
      <c r="B93">
        <v>1062</v>
      </c>
      <c r="C93">
        <v>1062</v>
      </c>
      <c r="M93" s="18" t="s">
        <v>88</v>
      </c>
      <c r="N93">
        <v>1442</v>
      </c>
      <c r="O93">
        <v>1442</v>
      </c>
    </row>
    <row r="94" spans="1:15" x14ac:dyDescent="0.3">
      <c r="A94" s="18" t="s">
        <v>100</v>
      </c>
      <c r="B94">
        <v>2316</v>
      </c>
      <c r="C94">
        <v>2316</v>
      </c>
      <c r="M94" s="18" t="s">
        <v>100</v>
      </c>
      <c r="N94">
        <v>2638</v>
      </c>
      <c r="O94">
        <v>2638</v>
      </c>
    </row>
    <row r="108" spans="1:4" x14ac:dyDescent="0.3">
      <c r="A108" s="17" t="s">
        <v>0</v>
      </c>
      <c r="B108" t="s">
        <v>69</v>
      </c>
    </row>
    <row r="110" spans="1:4" x14ac:dyDescent="0.3">
      <c r="A110" s="17" t="s">
        <v>17</v>
      </c>
      <c r="B110" s="17" t="s">
        <v>101</v>
      </c>
    </row>
    <row r="111" spans="1:4" x14ac:dyDescent="0.3">
      <c r="A111" s="17" t="s">
        <v>99</v>
      </c>
      <c r="B111" t="s">
        <v>20</v>
      </c>
      <c r="C111" t="s">
        <v>11</v>
      </c>
      <c r="D111" t="s">
        <v>100</v>
      </c>
    </row>
    <row r="112" spans="1:4" x14ac:dyDescent="0.3">
      <c r="A112" s="18" t="s">
        <v>71</v>
      </c>
      <c r="B112">
        <v>0.23</v>
      </c>
      <c r="C112">
        <v>0.25</v>
      </c>
      <c r="D112">
        <v>0.48</v>
      </c>
    </row>
    <row r="113" spans="1:4" x14ac:dyDescent="0.3">
      <c r="A113" s="18" t="s">
        <v>73</v>
      </c>
      <c r="B113">
        <v>0.02</v>
      </c>
      <c r="C113">
        <v>0.02</v>
      </c>
      <c r="D113">
        <v>0.04</v>
      </c>
    </row>
    <row r="114" spans="1:4" x14ac:dyDescent="0.3">
      <c r="A114" s="18" t="s">
        <v>74</v>
      </c>
      <c r="B114">
        <v>6.1</v>
      </c>
      <c r="C114">
        <v>6.4</v>
      </c>
      <c r="D114">
        <v>12.5</v>
      </c>
    </row>
    <row r="115" spans="1:4" x14ac:dyDescent="0.3">
      <c r="A115" s="18" t="s">
        <v>75</v>
      </c>
      <c r="B115">
        <v>0.08</v>
      </c>
      <c r="C115">
        <v>0.08</v>
      </c>
      <c r="D115">
        <v>0.16</v>
      </c>
    </row>
    <row r="116" spans="1:4" x14ac:dyDescent="0.3">
      <c r="A116" s="18" t="s">
        <v>76</v>
      </c>
      <c r="B116">
        <v>22.5</v>
      </c>
      <c r="C116">
        <v>24.3</v>
      </c>
      <c r="D116">
        <v>46.8</v>
      </c>
    </row>
    <row r="117" spans="1:4" x14ac:dyDescent="0.3">
      <c r="A117" s="18" t="s">
        <v>100</v>
      </c>
      <c r="B117">
        <v>28.93</v>
      </c>
      <c r="C117">
        <v>31.05</v>
      </c>
      <c r="D117">
        <v>59.98</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1"/>
  <sheetViews>
    <sheetView zoomScaleNormal="100" workbookViewId="0">
      <selection activeCell="AD26" sqref="AD26"/>
    </sheetView>
  </sheetViews>
  <sheetFormatPr defaultColWidth="8.6640625" defaultRowHeight="14.4" x14ac:dyDescent="0.3"/>
  <cols>
    <col min="1" max="1" width="13.6640625" customWidth="1"/>
    <col min="2" max="2" width="14.109375" customWidth="1"/>
    <col min="5" max="5" width="13.21875" customWidth="1"/>
    <col min="9" max="9" width="22.33203125" bestFit="1" customWidth="1"/>
    <col min="10" max="10" width="15.5546875" bestFit="1" customWidth="1"/>
    <col min="11" max="11" width="9.5546875" bestFit="1" customWidth="1"/>
    <col min="12" max="13" width="10.77734375" bestFit="1" customWidth="1"/>
    <col min="14" max="18" width="5" bestFit="1" customWidth="1"/>
    <col min="19" max="22" width="4" bestFit="1" customWidth="1"/>
    <col min="23" max="23" width="5" bestFit="1" customWidth="1"/>
    <col min="24" max="24" width="3" bestFit="1" customWidth="1"/>
    <col min="25" max="35" width="5" bestFit="1" customWidth="1"/>
    <col min="36" max="52" width="4" bestFit="1" customWidth="1"/>
    <col min="53" max="61" width="5" bestFit="1" customWidth="1"/>
    <col min="62" max="73" width="6" bestFit="1" customWidth="1"/>
    <col min="74" max="74" width="2.88671875" bestFit="1" customWidth="1"/>
    <col min="75" max="75" width="5.44140625" bestFit="1" customWidth="1"/>
    <col min="76" max="76" width="3.44140625" bestFit="1" customWidth="1"/>
    <col min="77" max="77" width="8.33203125" bestFit="1" customWidth="1"/>
    <col min="78" max="78" width="3.5546875" bestFit="1" customWidth="1"/>
    <col min="79" max="79" width="7" bestFit="1" customWidth="1"/>
    <col min="80" max="80" width="10.77734375" bestFit="1" customWidth="1"/>
  </cols>
  <sheetData>
    <row r="1" spans="1:13" ht="14.25" customHeight="1" x14ac:dyDescent="0.3">
      <c r="A1" t="s">
        <v>0</v>
      </c>
      <c r="B1" t="s">
        <v>1</v>
      </c>
      <c r="C1" t="s">
        <v>2</v>
      </c>
      <c r="D1" t="s">
        <v>3</v>
      </c>
      <c r="E1" t="s">
        <v>4</v>
      </c>
      <c r="F1" t="s">
        <v>5</v>
      </c>
      <c r="G1" t="s">
        <v>6</v>
      </c>
    </row>
    <row r="2" spans="1:13" ht="14.25" customHeight="1" x14ac:dyDescent="0.3">
      <c r="A2" t="s">
        <v>7</v>
      </c>
      <c r="B2" t="s">
        <v>8</v>
      </c>
      <c r="C2" t="s">
        <v>9</v>
      </c>
      <c r="D2" t="s">
        <v>10</v>
      </c>
      <c r="E2">
        <v>384</v>
      </c>
      <c r="F2" t="s">
        <v>11</v>
      </c>
      <c r="G2">
        <v>6.9</v>
      </c>
      <c r="I2" s="17" t="s">
        <v>0</v>
      </c>
      <c r="J2" t="s">
        <v>79</v>
      </c>
      <c r="M2" s="3"/>
    </row>
    <row r="3" spans="1:13" ht="14.25" customHeight="1" x14ac:dyDescent="0.3">
      <c r="A3" t="s">
        <v>7</v>
      </c>
      <c r="B3" t="s">
        <v>13</v>
      </c>
      <c r="C3" t="s">
        <v>14</v>
      </c>
      <c r="D3" t="s">
        <v>10</v>
      </c>
      <c r="E3">
        <v>384</v>
      </c>
      <c r="F3" t="s">
        <v>11</v>
      </c>
      <c r="G3">
        <v>2006</v>
      </c>
    </row>
    <row r="4" spans="1:13" ht="14.25" customHeight="1" x14ac:dyDescent="0.3">
      <c r="A4" t="s">
        <v>7</v>
      </c>
      <c r="B4" t="s">
        <v>15</v>
      </c>
      <c r="C4" t="s">
        <v>16</v>
      </c>
      <c r="D4" t="s">
        <v>10</v>
      </c>
      <c r="E4">
        <v>384</v>
      </c>
      <c r="F4" t="s">
        <v>11</v>
      </c>
      <c r="G4">
        <v>594</v>
      </c>
      <c r="I4" s="17" t="s">
        <v>17</v>
      </c>
      <c r="J4" s="17" t="s">
        <v>101</v>
      </c>
    </row>
    <row r="5" spans="1:13" ht="14.25" customHeight="1" x14ac:dyDescent="0.3">
      <c r="A5" t="s">
        <v>7</v>
      </c>
      <c r="B5" t="s">
        <v>18</v>
      </c>
      <c r="C5" t="s">
        <v>19</v>
      </c>
      <c r="D5" t="s">
        <v>10</v>
      </c>
      <c r="E5">
        <v>384</v>
      </c>
      <c r="F5" t="s">
        <v>11</v>
      </c>
      <c r="G5">
        <v>1700</v>
      </c>
      <c r="I5" s="17" t="s">
        <v>99</v>
      </c>
      <c r="J5" t="s">
        <v>20</v>
      </c>
      <c r="K5" t="s">
        <v>11</v>
      </c>
      <c r="L5" t="s">
        <v>100</v>
      </c>
    </row>
    <row r="6" spans="1:13" ht="14.25" customHeight="1" x14ac:dyDescent="0.3">
      <c r="A6" t="s">
        <v>12</v>
      </c>
      <c r="B6" t="s">
        <v>21</v>
      </c>
      <c r="C6" t="s">
        <v>22</v>
      </c>
      <c r="D6" t="s">
        <v>23</v>
      </c>
      <c r="E6">
        <v>382</v>
      </c>
      <c r="F6" t="s">
        <v>11</v>
      </c>
      <c r="G6">
        <v>761</v>
      </c>
      <c r="I6" s="18" t="s">
        <v>81</v>
      </c>
      <c r="J6">
        <v>10.5</v>
      </c>
      <c r="K6">
        <v>11</v>
      </c>
      <c r="L6">
        <v>21.5</v>
      </c>
    </row>
    <row r="7" spans="1:13" ht="14.25" customHeight="1" x14ac:dyDescent="0.3">
      <c r="A7" t="s">
        <v>12</v>
      </c>
      <c r="B7" t="s">
        <v>21</v>
      </c>
      <c r="C7" t="s">
        <v>24</v>
      </c>
      <c r="D7" t="s">
        <v>23</v>
      </c>
      <c r="E7">
        <v>382</v>
      </c>
      <c r="F7" t="s">
        <v>11</v>
      </c>
      <c r="G7">
        <v>10930</v>
      </c>
      <c r="I7" s="18" t="s">
        <v>86</v>
      </c>
      <c r="J7">
        <v>31.2</v>
      </c>
      <c r="K7">
        <v>30.1</v>
      </c>
      <c r="L7">
        <v>61.3</v>
      </c>
    </row>
    <row r="8" spans="1:13" ht="14.25" customHeight="1" x14ac:dyDescent="0.3">
      <c r="A8" t="s">
        <v>12</v>
      </c>
      <c r="B8" t="s">
        <v>21</v>
      </c>
      <c r="C8" t="s">
        <v>25</v>
      </c>
      <c r="D8" t="s">
        <v>23</v>
      </c>
      <c r="E8">
        <v>382</v>
      </c>
      <c r="F8" t="s">
        <v>11</v>
      </c>
      <c r="G8">
        <v>11691</v>
      </c>
      <c r="I8" s="18" t="s">
        <v>83</v>
      </c>
      <c r="J8">
        <v>142</v>
      </c>
      <c r="K8">
        <v>134</v>
      </c>
      <c r="L8">
        <v>276</v>
      </c>
    </row>
    <row r="9" spans="1:13" ht="14.25" customHeight="1" x14ac:dyDescent="0.3">
      <c r="A9" t="s">
        <v>12</v>
      </c>
      <c r="B9" t="s">
        <v>27</v>
      </c>
      <c r="C9" t="s">
        <v>28</v>
      </c>
      <c r="D9" t="s">
        <v>23</v>
      </c>
      <c r="E9">
        <v>382</v>
      </c>
      <c r="F9" t="s">
        <v>11</v>
      </c>
      <c r="G9">
        <v>24025</v>
      </c>
      <c r="I9" s="18" t="s">
        <v>100</v>
      </c>
      <c r="J9">
        <v>183.7</v>
      </c>
      <c r="K9">
        <v>175.1</v>
      </c>
      <c r="L9">
        <v>358.8</v>
      </c>
    </row>
    <row r="10" spans="1:13" ht="14.25" customHeight="1" x14ac:dyDescent="0.3">
      <c r="A10" t="s">
        <v>12</v>
      </c>
      <c r="B10" t="s">
        <v>30</v>
      </c>
      <c r="C10" t="s">
        <v>31</v>
      </c>
      <c r="D10" t="s">
        <v>23</v>
      </c>
      <c r="E10">
        <v>382</v>
      </c>
      <c r="F10" t="s">
        <v>11</v>
      </c>
      <c r="G10">
        <v>187</v>
      </c>
    </row>
    <row r="11" spans="1:13" ht="14.25" customHeight="1" x14ac:dyDescent="0.3">
      <c r="A11" t="s">
        <v>12</v>
      </c>
      <c r="B11" t="s">
        <v>30</v>
      </c>
      <c r="C11" t="s">
        <v>26</v>
      </c>
      <c r="D11" t="s">
        <v>23</v>
      </c>
      <c r="E11">
        <v>382</v>
      </c>
      <c r="F11" t="s">
        <v>11</v>
      </c>
      <c r="G11">
        <v>964</v>
      </c>
    </row>
    <row r="12" spans="1:13" ht="14.25" customHeight="1" x14ac:dyDescent="0.3">
      <c r="A12" t="s">
        <v>12</v>
      </c>
      <c r="B12" t="s">
        <v>30</v>
      </c>
      <c r="C12" t="s">
        <v>29</v>
      </c>
      <c r="D12" t="s">
        <v>23</v>
      </c>
      <c r="E12">
        <v>382</v>
      </c>
      <c r="F12" t="s">
        <v>11</v>
      </c>
      <c r="G12">
        <v>11182</v>
      </c>
    </row>
    <row r="13" spans="1:13" ht="14.25" customHeight="1" x14ac:dyDescent="0.3">
      <c r="A13" t="s">
        <v>12</v>
      </c>
      <c r="B13" t="s">
        <v>30</v>
      </c>
      <c r="C13" t="s">
        <v>32</v>
      </c>
      <c r="D13" t="s">
        <v>23</v>
      </c>
      <c r="E13">
        <v>382</v>
      </c>
      <c r="F13" t="s">
        <v>11</v>
      </c>
      <c r="G13">
        <v>12334</v>
      </c>
    </row>
    <row r="14" spans="1:13" ht="14.25" customHeight="1" x14ac:dyDescent="0.3">
      <c r="A14" t="s">
        <v>33</v>
      </c>
      <c r="B14" t="s">
        <v>34</v>
      </c>
      <c r="C14" t="s">
        <v>35</v>
      </c>
      <c r="D14" t="s">
        <v>36</v>
      </c>
      <c r="E14">
        <v>395</v>
      </c>
      <c r="F14" t="s">
        <v>11</v>
      </c>
      <c r="G14" t="s">
        <v>37</v>
      </c>
    </row>
    <row r="15" spans="1:13" ht="14.25" customHeight="1" x14ac:dyDescent="0.3">
      <c r="A15" t="s">
        <v>33</v>
      </c>
      <c r="B15" t="s">
        <v>38</v>
      </c>
      <c r="C15" t="s">
        <v>39</v>
      </c>
      <c r="D15" t="s">
        <v>36</v>
      </c>
      <c r="E15">
        <v>395</v>
      </c>
      <c r="F15" t="s">
        <v>11</v>
      </c>
      <c r="G15" t="s">
        <v>40</v>
      </c>
    </row>
    <row r="16" spans="1:13" ht="14.25" customHeight="1" x14ac:dyDescent="0.3">
      <c r="A16" t="s">
        <v>33</v>
      </c>
      <c r="B16" t="s">
        <v>41</v>
      </c>
      <c r="C16" t="s">
        <v>42</v>
      </c>
      <c r="D16" t="s">
        <v>36</v>
      </c>
      <c r="E16">
        <v>395</v>
      </c>
      <c r="F16" t="s">
        <v>11</v>
      </c>
      <c r="G16" t="s">
        <v>40</v>
      </c>
    </row>
    <row r="17" spans="1:12" ht="14.25" customHeight="1" x14ac:dyDescent="0.3">
      <c r="A17" t="s">
        <v>33</v>
      </c>
      <c r="B17" t="s">
        <v>43</v>
      </c>
      <c r="C17" t="s">
        <v>44</v>
      </c>
      <c r="D17" t="s">
        <v>45</v>
      </c>
      <c r="E17">
        <v>395</v>
      </c>
      <c r="F17" t="s">
        <v>11</v>
      </c>
      <c r="G17" t="s">
        <v>46</v>
      </c>
    </row>
    <row r="18" spans="1:12" ht="14.25" customHeight="1" x14ac:dyDescent="0.3">
      <c r="A18" t="s">
        <v>33</v>
      </c>
      <c r="B18" t="s">
        <v>47</v>
      </c>
      <c r="C18" t="s">
        <v>48</v>
      </c>
      <c r="D18" t="s">
        <v>36</v>
      </c>
      <c r="E18">
        <v>395</v>
      </c>
      <c r="F18" t="s">
        <v>11</v>
      </c>
      <c r="G18" t="s">
        <v>49</v>
      </c>
    </row>
    <row r="19" spans="1:12" ht="14.25" customHeight="1" x14ac:dyDescent="0.3">
      <c r="A19" t="s">
        <v>50</v>
      </c>
      <c r="B19" t="s">
        <v>51</v>
      </c>
      <c r="C19" t="s">
        <v>52</v>
      </c>
      <c r="D19" t="s">
        <v>53</v>
      </c>
      <c r="E19">
        <v>385</v>
      </c>
      <c r="F19" t="s">
        <v>11</v>
      </c>
      <c r="G19">
        <v>0.16</v>
      </c>
    </row>
    <row r="20" spans="1:12" ht="14.25" customHeight="1" x14ac:dyDescent="0.3">
      <c r="A20" t="s">
        <v>50</v>
      </c>
      <c r="B20" t="s">
        <v>51</v>
      </c>
      <c r="C20" t="s">
        <v>54</v>
      </c>
      <c r="D20" t="s">
        <v>55</v>
      </c>
      <c r="E20">
        <v>385</v>
      </c>
      <c r="F20" t="s">
        <v>11</v>
      </c>
      <c r="G20">
        <v>29.8</v>
      </c>
    </row>
    <row r="21" spans="1:12" ht="14.25" customHeight="1" x14ac:dyDescent="0.3">
      <c r="A21" t="s">
        <v>50</v>
      </c>
      <c r="B21" t="s">
        <v>51</v>
      </c>
      <c r="C21" t="s">
        <v>56</v>
      </c>
      <c r="D21" t="s">
        <v>53</v>
      </c>
      <c r="E21">
        <v>385</v>
      </c>
      <c r="F21" t="s">
        <v>11</v>
      </c>
      <c r="G21">
        <v>1.01</v>
      </c>
    </row>
    <row r="22" spans="1:12" ht="14.25" customHeight="1" x14ac:dyDescent="0.3">
      <c r="A22" t="s">
        <v>50</v>
      </c>
      <c r="B22" t="s">
        <v>51</v>
      </c>
      <c r="C22" t="s">
        <v>57</v>
      </c>
      <c r="D22" t="s">
        <v>58</v>
      </c>
      <c r="E22">
        <v>385</v>
      </c>
      <c r="F22" t="s">
        <v>11</v>
      </c>
      <c r="G22">
        <v>14.6</v>
      </c>
    </row>
    <row r="23" spans="1:12" ht="14.25" customHeight="1" x14ac:dyDescent="0.3">
      <c r="A23" t="s">
        <v>50</v>
      </c>
      <c r="B23" t="s">
        <v>51</v>
      </c>
      <c r="C23" t="s">
        <v>59</v>
      </c>
      <c r="D23" t="s">
        <v>58</v>
      </c>
      <c r="E23">
        <v>389</v>
      </c>
      <c r="F23" t="s">
        <v>11</v>
      </c>
      <c r="G23">
        <v>17.7</v>
      </c>
    </row>
    <row r="24" spans="1:12" ht="14.25" customHeight="1" x14ac:dyDescent="0.3">
      <c r="A24" t="s">
        <v>50</v>
      </c>
      <c r="B24" t="s">
        <v>60</v>
      </c>
      <c r="C24" t="s">
        <v>61</v>
      </c>
      <c r="D24" t="s">
        <v>62</v>
      </c>
      <c r="E24">
        <v>385</v>
      </c>
      <c r="F24" t="s">
        <v>11</v>
      </c>
      <c r="G24">
        <v>1045</v>
      </c>
    </row>
    <row r="25" spans="1:12" ht="14.25" customHeight="1" x14ac:dyDescent="0.3">
      <c r="A25" t="s">
        <v>50</v>
      </c>
      <c r="B25" t="s">
        <v>63</v>
      </c>
      <c r="C25" t="s">
        <v>64</v>
      </c>
      <c r="D25" t="s">
        <v>62</v>
      </c>
      <c r="E25">
        <v>385</v>
      </c>
      <c r="F25" t="s">
        <v>11</v>
      </c>
      <c r="G25">
        <v>151</v>
      </c>
    </row>
    <row r="26" spans="1:12" ht="14.25" customHeight="1" x14ac:dyDescent="0.3">
      <c r="A26" t="s">
        <v>65</v>
      </c>
      <c r="B26" t="s">
        <v>66</v>
      </c>
      <c r="C26" t="s">
        <v>67</v>
      </c>
      <c r="D26" t="s">
        <v>10</v>
      </c>
      <c r="E26">
        <v>367</v>
      </c>
      <c r="F26" t="s">
        <v>11</v>
      </c>
      <c r="G26">
        <v>2300</v>
      </c>
    </row>
    <row r="27" spans="1:12" ht="14.25" customHeight="1" x14ac:dyDescent="0.3">
      <c r="A27" t="s">
        <v>65</v>
      </c>
      <c r="B27" t="s">
        <v>66</v>
      </c>
      <c r="C27" t="s">
        <v>68</v>
      </c>
      <c r="D27" t="s">
        <v>10</v>
      </c>
      <c r="E27">
        <v>367</v>
      </c>
      <c r="F27" t="s">
        <v>11</v>
      </c>
      <c r="G27">
        <v>93000</v>
      </c>
    </row>
    <row r="28" spans="1:12" ht="14.25" customHeight="1" x14ac:dyDescent="0.3">
      <c r="A28" t="s">
        <v>69</v>
      </c>
      <c r="B28" t="s">
        <v>70</v>
      </c>
      <c r="C28" t="s">
        <v>71</v>
      </c>
      <c r="D28" t="s">
        <v>72</v>
      </c>
      <c r="E28">
        <v>386</v>
      </c>
      <c r="F28" t="s">
        <v>11</v>
      </c>
      <c r="G28">
        <v>0.25</v>
      </c>
    </row>
    <row r="29" spans="1:12" ht="14.25" customHeight="1" x14ac:dyDescent="0.3">
      <c r="A29" t="s">
        <v>69</v>
      </c>
      <c r="B29" t="s">
        <v>70</v>
      </c>
      <c r="C29" t="s">
        <v>73</v>
      </c>
      <c r="D29" t="s">
        <v>72</v>
      </c>
      <c r="E29">
        <v>386</v>
      </c>
      <c r="F29" t="s">
        <v>11</v>
      </c>
      <c r="G29">
        <v>0.02</v>
      </c>
      <c r="J29" s="8"/>
      <c r="K29" s="9"/>
      <c r="L29" s="10"/>
    </row>
    <row r="30" spans="1:12" ht="14.25" customHeight="1" x14ac:dyDescent="0.3">
      <c r="A30" t="s">
        <v>69</v>
      </c>
      <c r="B30" t="s">
        <v>70</v>
      </c>
      <c r="C30" t="s">
        <v>74</v>
      </c>
      <c r="D30" t="s">
        <v>72</v>
      </c>
      <c r="E30">
        <v>386</v>
      </c>
      <c r="F30" t="s">
        <v>11</v>
      </c>
      <c r="G30">
        <v>6.4</v>
      </c>
      <c r="J30" s="11"/>
      <c r="K30" s="12"/>
      <c r="L30" s="13"/>
    </row>
    <row r="31" spans="1:12" ht="14.25" customHeight="1" x14ac:dyDescent="0.3">
      <c r="A31" t="s">
        <v>69</v>
      </c>
      <c r="B31" t="s">
        <v>70</v>
      </c>
      <c r="C31" t="s">
        <v>75</v>
      </c>
      <c r="D31" t="s">
        <v>72</v>
      </c>
      <c r="E31">
        <v>386</v>
      </c>
      <c r="F31" t="s">
        <v>11</v>
      </c>
      <c r="G31">
        <v>0.08</v>
      </c>
      <c r="J31" s="11"/>
      <c r="K31" s="12"/>
      <c r="L31" s="13"/>
    </row>
    <row r="32" spans="1:12" ht="14.25" customHeight="1" x14ac:dyDescent="0.3">
      <c r="A32" t="s">
        <v>69</v>
      </c>
      <c r="B32" t="s">
        <v>70</v>
      </c>
      <c r="C32" t="s">
        <v>76</v>
      </c>
      <c r="D32" t="s">
        <v>72</v>
      </c>
      <c r="E32">
        <v>386</v>
      </c>
      <c r="F32" t="s">
        <v>11</v>
      </c>
      <c r="G32">
        <v>24.3</v>
      </c>
      <c r="J32" s="11"/>
      <c r="K32" s="12"/>
      <c r="L32" s="13"/>
    </row>
    <row r="33" spans="1:12" ht="14.25" customHeight="1" x14ac:dyDescent="0.3">
      <c r="A33" t="s">
        <v>69</v>
      </c>
      <c r="B33" t="s">
        <v>70</v>
      </c>
      <c r="C33" t="s">
        <v>77</v>
      </c>
      <c r="D33" t="s">
        <v>72</v>
      </c>
      <c r="E33">
        <v>386</v>
      </c>
      <c r="F33" t="s">
        <v>11</v>
      </c>
      <c r="G33">
        <v>12.6</v>
      </c>
      <c r="J33" s="11"/>
      <c r="K33" s="12"/>
      <c r="L33" s="13"/>
    </row>
    <row r="34" spans="1:12" ht="14.25" customHeight="1" x14ac:dyDescent="0.3">
      <c r="A34" t="s">
        <v>69</v>
      </c>
      <c r="B34" t="s">
        <v>70</v>
      </c>
      <c r="C34" t="s">
        <v>78</v>
      </c>
      <c r="D34" t="s">
        <v>72</v>
      </c>
      <c r="E34">
        <v>386</v>
      </c>
      <c r="F34" t="s">
        <v>11</v>
      </c>
      <c r="G34">
        <v>0</v>
      </c>
      <c r="J34" s="11"/>
      <c r="K34" s="12"/>
      <c r="L34" s="13"/>
    </row>
    <row r="35" spans="1:12" ht="14.25" customHeight="1" x14ac:dyDescent="0.3">
      <c r="A35" t="s">
        <v>79</v>
      </c>
      <c r="B35" t="s">
        <v>80</v>
      </c>
      <c r="C35" t="s">
        <v>81</v>
      </c>
      <c r="D35" t="s">
        <v>82</v>
      </c>
      <c r="E35">
        <v>383</v>
      </c>
      <c r="F35" t="s">
        <v>11</v>
      </c>
      <c r="G35">
        <v>11</v>
      </c>
      <c r="J35" s="11"/>
      <c r="K35" s="12"/>
      <c r="L35" s="13"/>
    </row>
    <row r="36" spans="1:12" ht="14.25" customHeight="1" x14ac:dyDescent="0.3">
      <c r="A36" t="s">
        <v>79</v>
      </c>
      <c r="B36" t="s">
        <v>51</v>
      </c>
      <c r="C36" t="s">
        <v>83</v>
      </c>
      <c r="D36" t="s">
        <v>84</v>
      </c>
      <c r="E36">
        <v>383</v>
      </c>
      <c r="F36" t="s">
        <v>11</v>
      </c>
      <c r="G36">
        <v>134</v>
      </c>
      <c r="J36" s="11"/>
      <c r="K36" s="12"/>
      <c r="L36" s="13"/>
    </row>
    <row r="37" spans="1:12" ht="14.25" customHeight="1" x14ac:dyDescent="0.3">
      <c r="A37" t="s">
        <v>79</v>
      </c>
      <c r="B37" t="s">
        <v>85</v>
      </c>
      <c r="C37" t="s">
        <v>86</v>
      </c>
      <c r="D37" t="s">
        <v>82</v>
      </c>
      <c r="E37">
        <v>383</v>
      </c>
      <c r="F37" t="s">
        <v>11</v>
      </c>
      <c r="G37">
        <v>30.1</v>
      </c>
      <c r="J37" s="11"/>
      <c r="K37" s="12"/>
      <c r="L37" s="13"/>
    </row>
    <row r="38" spans="1:12" ht="14.25" customHeight="1" x14ac:dyDescent="0.3">
      <c r="A38" t="s">
        <v>7</v>
      </c>
      <c r="B38" t="s">
        <v>8</v>
      </c>
      <c r="C38" t="s">
        <v>9</v>
      </c>
      <c r="D38" t="s">
        <v>10</v>
      </c>
      <c r="E38">
        <v>384</v>
      </c>
      <c r="F38" t="s">
        <v>20</v>
      </c>
      <c r="G38">
        <v>7.8</v>
      </c>
      <c r="J38" s="11"/>
      <c r="K38" s="12"/>
      <c r="L38" s="13"/>
    </row>
    <row r="39" spans="1:12" ht="14.25" customHeight="1" x14ac:dyDescent="0.3">
      <c r="A39" t="s">
        <v>7</v>
      </c>
      <c r="B39" t="s">
        <v>13</v>
      </c>
      <c r="C39" t="s">
        <v>14</v>
      </c>
      <c r="D39" t="s">
        <v>10</v>
      </c>
      <c r="E39">
        <v>384</v>
      </c>
      <c r="F39" t="s">
        <v>20</v>
      </c>
      <c r="G39">
        <v>2064</v>
      </c>
      <c r="J39" s="11"/>
      <c r="K39" s="12"/>
      <c r="L39" s="13"/>
    </row>
    <row r="40" spans="1:12" ht="14.25" customHeight="1" x14ac:dyDescent="0.3">
      <c r="A40" t="s">
        <v>7</v>
      </c>
      <c r="B40" t="s">
        <v>15</v>
      </c>
      <c r="C40" t="s">
        <v>16</v>
      </c>
      <c r="D40" t="s">
        <v>10</v>
      </c>
      <c r="E40">
        <v>384</v>
      </c>
      <c r="F40" t="s">
        <v>20</v>
      </c>
      <c r="G40">
        <v>553</v>
      </c>
      <c r="J40" s="11"/>
      <c r="K40" s="12"/>
      <c r="L40" s="13"/>
    </row>
    <row r="41" spans="1:12" ht="14.25" customHeight="1" x14ac:dyDescent="0.3">
      <c r="A41" t="s">
        <v>7</v>
      </c>
      <c r="B41" t="s">
        <v>18</v>
      </c>
      <c r="C41" t="s">
        <v>19</v>
      </c>
      <c r="D41" t="s">
        <v>10</v>
      </c>
      <c r="E41">
        <v>384</v>
      </c>
      <c r="F41" t="s">
        <v>20</v>
      </c>
      <c r="G41">
        <v>2287</v>
      </c>
      <c r="J41" s="11"/>
      <c r="K41" s="12"/>
      <c r="L41" s="13"/>
    </row>
    <row r="42" spans="1:12" ht="14.25" customHeight="1" x14ac:dyDescent="0.3">
      <c r="A42" t="s">
        <v>12</v>
      </c>
      <c r="B42" t="s">
        <v>21</v>
      </c>
      <c r="C42" t="s">
        <v>22</v>
      </c>
      <c r="D42" t="s">
        <v>23</v>
      </c>
      <c r="E42">
        <v>382</v>
      </c>
      <c r="F42" t="s">
        <v>20</v>
      </c>
      <c r="G42">
        <v>757</v>
      </c>
      <c r="J42" s="11"/>
      <c r="K42" s="12"/>
      <c r="L42" s="13"/>
    </row>
    <row r="43" spans="1:12" ht="14.25" customHeight="1" x14ac:dyDescent="0.3">
      <c r="A43" t="s">
        <v>12</v>
      </c>
      <c r="B43" t="s">
        <v>21</v>
      </c>
      <c r="C43" t="s">
        <v>24</v>
      </c>
      <c r="D43" t="s">
        <v>23</v>
      </c>
      <c r="E43">
        <v>382</v>
      </c>
      <c r="F43" t="s">
        <v>20</v>
      </c>
      <c r="G43">
        <v>11600</v>
      </c>
      <c r="J43" s="11"/>
      <c r="K43" s="12"/>
      <c r="L43" s="13"/>
    </row>
    <row r="44" spans="1:12" ht="14.25" customHeight="1" x14ac:dyDescent="0.3">
      <c r="A44" t="s">
        <v>12</v>
      </c>
      <c r="B44" t="s">
        <v>21</v>
      </c>
      <c r="C44" t="s">
        <v>25</v>
      </c>
      <c r="D44" t="s">
        <v>23</v>
      </c>
      <c r="E44">
        <v>382</v>
      </c>
      <c r="F44" t="s">
        <v>20</v>
      </c>
      <c r="G44">
        <v>12357</v>
      </c>
      <c r="J44" s="11"/>
      <c r="K44" s="12"/>
      <c r="L44" s="13"/>
    </row>
    <row r="45" spans="1:12" ht="14.25" customHeight="1" x14ac:dyDescent="0.3">
      <c r="A45" t="s">
        <v>12</v>
      </c>
      <c r="B45" t="s">
        <v>27</v>
      </c>
      <c r="C45" t="s">
        <v>28</v>
      </c>
      <c r="D45" t="s">
        <v>23</v>
      </c>
      <c r="E45">
        <v>382</v>
      </c>
      <c r="F45" t="s">
        <v>20</v>
      </c>
      <c r="G45">
        <v>25791</v>
      </c>
      <c r="J45" s="11"/>
      <c r="K45" s="12"/>
      <c r="L45" s="13"/>
    </row>
    <row r="46" spans="1:12" ht="14.25" customHeight="1" x14ac:dyDescent="0.3">
      <c r="A46" t="s">
        <v>12</v>
      </c>
      <c r="B46" t="s">
        <v>30</v>
      </c>
      <c r="C46" t="s">
        <v>31</v>
      </c>
      <c r="D46" t="s">
        <v>23</v>
      </c>
      <c r="E46">
        <v>382</v>
      </c>
      <c r="F46" t="s">
        <v>20</v>
      </c>
      <c r="G46">
        <v>183</v>
      </c>
      <c r="J46" s="14"/>
      <c r="K46" s="15"/>
      <c r="L46" s="16"/>
    </row>
    <row r="47" spans="1:12" ht="14.25" customHeight="1" x14ac:dyDescent="0.3">
      <c r="A47" t="s">
        <v>12</v>
      </c>
      <c r="B47" t="s">
        <v>30</v>
      </c>
      <c r="C47" t="s">
        <v>26</v>
      </c>
      <c r="D47" t="s">
        <v>23</v>
      </c>
      <c r="E47">
        <v>382</v>
      </c>
      <c r="F47" t="s">
        <v>20</v>
      </c>
      <c r="G47">
        <v>868</v>
      </c>
    </row>
    <row r="48" spans="1:12" ht="14.25" customHeight="1" x14ac:dyDescent="0.3">
      <c r="A48" t="s">
        <v>12</v>
      </c>
      <c r="B48" t="s">
        <v>30</v>
      </c>
      <c r="C48" t="s">
        <v>29</v>
      </c>
      <c r="D48" t="s">
        <v>23</v>
      </c>
      <c r="E48">
        <v>382</v>
      </c>
      <c r="F48" t="s">
        <v>20</v>
      </c>
      <c r="G48">
        <v>12383</v>
      </c>
    </row>
    <row r="49" spans="1:7" ht="14.25" customHeight="1" x14ac:dyDescent="0.3">
      <c r="A49" t="s">
        <v>12</v>
      </c>
      <c r="B49" t="s">
        <v>30</v>
      </c>
      <c r="C49" t="s">
        <v>32</v>
      </c>
      <c r="D49" t="s">
        <v>23</v>
      </c>
      <c r="E49">
        <v>382</v>
      </c>
      <c r="F49" t="s">
        <v>20</v>
      </c>
      <c r="G49">
        <v>13434</v>
      </c>
    </row>
    <row r="50" spans="1:7" ht="14.25" customHeight="1" x14ac:dyDescent="0.3">
      <c r="A50" t="s">
        <v>33</v>
      </c>
      <c r="B50" t="s">
        <v>34</v>
      </c>
      <c r="C50" t="s">
        <v>35</v>
      </c>
      <c r="D50" t="s">
        <v>36</v>
      </c>
      <c r="E50">
        <v>395</v>
      </c>
      <c r="F50" t="s">
        <v>20</v>
      </c>
      <c r="G50" t="s">
        <v>37</v>
      </c>
    </row>
    <row r="51" spans="1:7" ht="14.25" customHeight="1" x14ac:dyDescent="0.3">
      <c r="A51" t="s">
        <v>33</v>
      </c>
      <c r="B51" t="s">
        <v>41</v>
      </c>
      <c r="C51" t="s">
        <v>42</v>
      </c>
      <c r="D51" t="s">
        <v>36</v>
      </c>
      <c r="E51">
        <v>395</v>
      </c>
      <c r="F51" t="s">
        <v>20</v>
      </c>
      <c r="G51" t="s">
        <v>40</v>
      </c>
    </row>
    <row r="52" spans="1:7" ht="14.25" customHeight="1" x14ac:dyDescent="0.3">
      <c r="A52" t="s">
        <v>33</v>
      </c>
      <c r="B52" t="s">
        <v>43</v>
      </c>
      <c r="C52" t="s">
        <v>44</v>
      </c>
      <c r="D52" t="s">
        <v>45</v>
      </c>
      <c r="E52">
        <v>395</v>
      </c>
      <c r="F52" t="s">
        <v>20</v>
      </c>
      <c r="G52" t="s">
        <v>46</v>
      </c>
    </row>
    <row r="53" spans="1:7" ht="14.25" customHeight="1" x14ac:dyDescent="0.3">
      <c r="A53" t="s">
        <v>33</v>
      </c>
      <c r="B53" t="s">
        <v>47</v>
      </c>
      <c r="C53" t="s">
        <v>48</v>
      </c>
      <c r="D53" t="s">
        <v>36</v>
      </c>
      <c r="E53">
        <v>395</v>
      </c>
      <c r="F53" t="s">
        <v>20</v>
      </c>
      <c r="G53" t="s">
        <v>49</v>
      </c>
    </row>
    <row r="54" spans="1:7" ht="14.25" customHeight="1" x14ac:dyDescent="0.3">
      <c r="A54" t="s">
        <v>50</v>
      </c>
      <c r="B54" t="s">
        <v>51</v>
      </c>
      <c r="C54" t="s">
        <v>52</v>
      </c>
      <c r="D54" t="s">
        <v>53</v>
      </c>
      <c r="E54">
        <v>385</v>
      </c>
      <c r="F54" t="s">
        <v>20</v>
      </c>
      <c r="G54">
        <v>0.18</v>
      </c>
    </row>
    <row r="55" spans="1:7" ht="14.25" customHeight="1" x14ac:dyDescent="0.3">
      <c r="A55" t="s">
        <v>50</v>
      </c>
      <c r="B55" t="s">
        <v>51</v>
      </c>
      <c r="C55" t="s">
        <v>54</v>
      </c>
      <c r="D55" t="s">
        <v>55</v>
      </c>
      <c r="E55">
        <v>385</v>
      </c>
      <c r="F55" t="s">
        <v>20</v>
      </c>
      <c r="G55">
        <v>34.9</v>
      </c>
    </row>
    <row r="56" spans="1:7" ht="14.25" customHeight="1" x14ac:dyDescent="0.3">
      <c r="A56" t="s">
        <v>50</v>
      </c>
      <c r="B56" t="s">
        <v>51</v>
      </c>
      <c r="C56" t="s">
        <v>56</v>
      </c>
      <c r="D56" t="s">
        <v>53</v>
      </c>
      <c r="E56">
        <v>385</v>
      </c>
      <c r="F56" t="s">
        <v>20</v>
      </c>
      <c r="G56">
        <v>1.06</v>
      </c>
    </row>
    <row r="57" spans="1:7" ht="14.25" customHeight="1" x14ac:dyDescent="0.3">
      <c r="A57" t="s">
        <v>50</v>
      </c>
      <c r="B57" t="s">
        <v>51</v>
      </c>
      <c r="C57" t="s">
        <v>57</v>
      </c>
      <c r="D57" t="s">
        <v>58</v>
      </c>
      <c r="E57">
        <v>385</v>
      </c>
      <c r="F57" t="s">
        <v>20</v>
      </c>
      <c r="G57">
        <v>16.899999999999999</v>
      </c>
    </row>
    <row r="58" spans="1:7" ht="14.25" customHeight="1" x14ac:dyDescent="0.3">
      <c r="A58" t="s">
        <v>50</v>
      </c>
      <c r="B58" t="s">
        <v>51</v>
      </c>
      <c r="C58" t="s">
        <v>59</v>
      </c>
      <c r="D58" t="s">
        <v>58</v>
      </c>
      <c r="E58">
        <v>389</v>
      </c>
      <c r="F58" t="s">
        <v>20</v>
      </c>
      <c r="G58">
        <v>14.3</v>
      </c>
    </row>
    <row r="59" spans="1:7" ht="14.25" customHeight="1" x14ac:dyDescent="0.3">
      <c r="A59" t="s">
        <v>50</v>
      </c>
      <c r="B59" t="s">
        <v>60</v>
      </c>
      <c r="C59" t="s">
        <v>61</v>
      </c>
      <c r="D59" t="s">
        <v>62</v>
      </c>
      <c r="E59">
        <v>385</v>
      </c>
      <c r="F59" t="s">
        <v>20</v>
      </c>
      <c r="G59">
        <v>1101</v>
      </c>
    </row>
    <row r="60" spans="1:7" ht="14.25" customHeight="1" x14ac:dyDescent="0.3">
      <c r="A60" t="s">
        <v>50</v>
      </c>
      <c r="B60" t="s">
        <v>63</v>
      </c>
      <c r="C60" t="s">
        <v>64</v>
      </c>
      <c r="D60" t="s">
        <v>62</v>
      </c>
      <c r="E60">
        <v>385</v>
      </c>
      <c r="F60" t="s">
        <v>20</v>
      </c>
      <c r="G60">
        <v>153</v>
      </c>
    </row>
    <row r="61" spans="1:7" ht="14.25" customHeight="1" x14ac:dyDescent="0.3">
      <c r="A61" t="s">
        <v>65</v>
      </c>
      <c r="B61" t="s">
        <v>66</v>
      </c>
      <c r="C61" t="s">
        <v>67</v>
      </c>
      <c r="D61" t="s">
        <v>10</v>
      </c>
      <c r="E61">
        <v>367</v>
      </c>
      <c r="F61" t="s">
        <v>20</v>
      </c>
      <c r="G61">
        <v>300</v>
      </c>
    </row>
    <row r="62" spans="1:7" ht="14.25" customHeight="1" x14ac:dyDescent="0.3">
      <c r="A62" t="s">
        <v>65</v>
      </c>
      <c r="B62" t="s">
        <v>66</v>
      </c>
      <c r="C62" t="s">
        <v>68</v>
      </c>
      <c r="D62" t="s">
        <v>10</v>
      </c>
      <c r="E62">
        <v>367</v>
      </c>
      <c r="F62" t="s">
        <v>20</v>
      </c>
      <c r="G62">
        <v>85000</v>
      </c>
    </row>
    <row r="63" spans="1:7" ht="14.25" customHeight="1" x14ac:dyDescent="0.3">
      <c r="A63" t="s">
        <v>69</v>
      </c>
      <c r="B63" t="s">
        <v>70</v>
      </c>
      <c r="C63" t="s">
        <v>71</v>
      </c>
      <c r="D63" t="s">
        <v>72</v>
      </c>
      <c r="E63">
        <v>386</v>
      </c>
      <c r="F63" t="s">
        <v>20</v>
      </c>
      <c r="G63">
        <v>0.23</v>
      </c>
    </row>
    <row r="64" spans="1:7" ht="14.25" customHeight="1" x14ac:dyDescent="0.3">
      <c r="A64" t="s">
        <v>69</v>
      </c>
      <c r="B64" t="s">
        <v>70</v>
      </c>
      <c r="C64" t="s">
        <v>73</v>
      </c>
      <c r="D64" t="s">
        <v>72</v>
      </c>
      <c r="E64">
        <v>386</v>
      </c>
      <c r="F64" t="s">
        <v>20</v>
      </c>
      <c r="G64">
        <v>0.02</v>
      </c>
    </row>
    <row r="65" spans="1:7" ht="14.25" customHeight="1" x14ac:dyDescent="0.3">
      <c r="A65" t="s">
        <v>69</v>
      </c>
      <c r="B65" t="s">
        <v>70</v>
      </c>
      <c r="C65" t="s">
        <v>74</v>
      </c>
      <c r="D65" t="s">
        <v>72</v>
      </c>
      <c r="E65">
        <v>386</v>
      </c>
      <c r="F65" t="s">
        <v>20</v>
      </c>
      <c r="G65">
        <v>6.1</v>
      </c>
    </row>
    <row r="66" spans="1:7" ht="14.25" customHeight="1" x14ac:dyDescent="0.3">
      <c r="A66" t="s">
        <v>69</v>
      </c>
      <c r="B66" t="s">
        <v>70</v>
      </c>
      <c r="C66" t="s">
        <v>75</v>
      </c>
      <c r="D66" t="s">
        <v>72</v>
      </c>
      <c r="E66">
        <v>386</v>
      </c>
      <c r="F66" t="s">
        <v>20</v>
      </c>
      <c r="G66">
        <v>0.08</v>
      </c>
    </row>
    <row r="67" spans="1:7" ht="14.25" customHeight="1" x14ac:dyDescent="0.3">
      <c r="A67" t="s">
        <v>69</v>
      </c>
      <c r="B67" t="s">
        <v>70</v>
      </c>
      <c r="C67" t="s">
        <v>76</v>
      </c>
      <c r="D67" t="s">
        <v>72</v>
      </c>
      <c r="E67">
        <v>386</v>
      </c>
      <c r="F67" t="s">
        <v>20</v>
      </c>
      <c r="G67">
        <v>22.5</v>
      </c>
    </row>
    <row r="68" spans="1:7" ht="14.25" customHeight="1" x14ac:dyDescent="0.3">
      <c r="A68" t="s">
        <v>69</v>
      </c>
      <c r="B68" t="s">
        <v>70</v>
      </c>
      <c r="C68" t="s">
        <v>78</v>
      </c>
      <c r="D68" t="s">
        <v>72</v>
      </c>
      <c r="E68">
        <v>386</v>
      </c>
      <c r="F68" t="s">
        <v>20</v>
      </c>
      <c r="G68">
        <v>0</v>
      </c>
    </row>
    <row r="69" spans="1:7" ht="14.25" customHeight="1" x14ac:dyDescent="0.3">
      <c r="A69" t="s">
        <v>79</v>
      </c>
      <c r="B69" t="s">
        <v>80</v>
      </c>
      <c r="C69" t="s">
        <v>81</v>
      </c>
      <c r="D69" t="s">
        <v>82</v>
      </c>
      <c r="E69">
        <v>383</v>
      </c>
      <c r="F69" t="s">
        <v>20</v>
      </c>
      <c r="G69">
        <v>10.5</v>
      </c>
    </row>
    <row r="70" spans="1:7" ht="14.25" customHeight="1" x14ac:dyDescent="0.3">
      <c r="A70" t="s">
        <v>79</v>
      </c>
      <c r="B70" t="s">
        <v>51</v>
      </c>
      <c r="C70" t="s">
        <v>83</v>
      </c>
      <c r="D70" t="s">
        <v>84</v>
      </c>
      <c r="E70">
        <v>383</v>
      </c>
      <c r="F70" t="s">
        <v>20</v>
      </c>
      <c r="G70">
        <v>142</v>
      </c>
    </row>
    <row r="71" spans="1:7" ht="14.25" customHeight="1" x14ac:dyDescent="0.3">
      <c r="A71" t="s">
        <v>79</v>
      </c>
      <c r="B71" t="s">
        <v>85</v>
      </c>
      <c r="C71" t="s">
        <v>86</v>
      </c>
      <c r="D71" t="s">
        <v>82</v>
      </c>
      <c r="E71">
        <v>383</v>
      </c>
      <c r="F71" t="s">
        <v>20</v>
      </c>
      <c r="G71">
        <v>31.2</v>
      </c>
    </row>
    <row r="72" spans="1:7" ht="14.25" customHeight="1" x14ac:dyDescent="0.3">
      <c r="A72" t="s">
        <v>50</v>
      </c>
      <c r="B72" t="s">
        <v>87</v>
      </c>
      <c r="C72" t="s">
        <v>88</v>
      </c>
      <c r="D72" t="s">
        <v>62</v>
      </c>
      <c r="E72">
        <v>389</v>
      </c>
      <c r="F72" t="s">
        <v>11</v>
      </c>
      <c r="G72">
        <v>1442</v>
      </c>
    </row>
    <row r="73" spans="1:7" ht="14.25" customHeight="1" x14ac:dyDescent="0.3">
      <c r="A73" t="s">
        <v>50</v>
      </c>
      <c r="B73" t="s">
        <v>87</v>
      </c>
      <c r="C73" t="s">
        <v>88</v>
      </c>
      <c r="D73" t="s">
        <v>62</v>
      </c>
      <c r="E73">
        <v>389</v>
      </c>
      <c r="F73" t="s">
        <v>20</v>
      </c>
      <c r="G73">
        <v>1062</v>
      </c>
    </row>
    <row r="74" spans="1:7" ht="14.25" customHeight="1" x14ac:dyDescent="0.3">
      <c r="A74" t="s">
        <v>69</v>
      </c>
      <c r="B74" t="s">
        <v>70</v>
      </c>
      <c r="C74" t="s">
        <v>89</v>
      </c>
      <c r="D74" t="s">
        <v>72</v>
      </c>
      <c r="E74">
        <v>386</v>
      </c>
      <c r="F74" t="s">
        <v>11</v>
      </c>
      <c r="G74">
        <v>678</v>
      </c>
    </row>
    <row r="75" spans="1:7" ht="14.25" customHeight="1" x14ac:dyDescent="0.3">
      <c r="A75" t="s">
        <v>69</v>
      </c>
      <c r="B75" t="s">
        <v>70</v>
      </c>
      <c r="C75" t="s">
        <v>89</v>
      </c>
      <c r="D75" t="s">
        <v>72</v>
      </c>
      <c r="E75">
        <v>386</v>
      </c>
      <c r="F75" t="s">
        <v>20</v>
      </c>
      <c r="G75">
        <v>693</v>
      </c>
    </row>
    <row r="76" spans="1:7" ht="14.25" customHeight="1" x14ac:dyDescent="0.3">
      <c r="A76" t="s">
        <v>69</v>
      </c>
      <c r="B76" t="s">
        <v>90</v>
      </c>
      <c r="C76" t="s">
        <v>91</v>
      </c>
      <c r="D76" t="s">
        <v>72</v>
      </c>
      <c r="E76">
        <v>386</v>
      </c>
      <c r="F76" t="s">
        <v>11</v>
      </c>
      <c r="G76">
        <v>713</v>
      </c>
    </row>
    <row r="77" spans="1:7" ht="14.25" customHeight="1" x14ac:dyDescent="0.3">
      <c r="A77" t="s">
        <v>69</v>
      </c>
      <c r="B77" t="s">
        <v>90</v>
      </c>
      <c r="C77" t="s">
        <v>91</v>
      </c>
      <c r="D77" t="s">
        <v>72</v>
      </c>
      <c r="E77">
        <v>386</v>
      </c>
      <c r="F77" t="s">
        <v>20</v>
      </c>
      <c r="G77">
        <v>718</v>
      </c>
    </row>
    <row r="78" spans="1:7" ht="14.25" customHeight="1" x14ac:dyDescent="0.3">
      <c r="A78" t="s">
        <v>69</v>
      </c>
      <c r="B78" t="s">
        <v>70</v>
      </c>
      <c r="C78" t="s">
        <v>77</v>
      </c>
      <c r="D78" t="s">
        <v>72</v>
      </c>
      <c r="E78">
        <v>386</v>
      </c>
      <c r="F78" t="s">
        <v>20</v>
      </c>
      <c r="G78" t="s">
        <v>92</v>
      </c>
    </row>
    <row r="81" spans="1:3" x14ac:dyDescent="0.3">
      <c r="A81" s="4" t="s">
        <v>93</v>
      </c>
    </row>
    <row r="82" spans="1:3" x14ac:dyDescent="0.3">
      <c r="A82" t="s">
        <v>94</v>
      </c>
      <c r="B82" t="s">
        <v>20</v>
      </c>
      <c r="C82" t="s">
        <v>11</v>
      </c>
    </row>
    <row r="83" spans="1:3" x14ac:dyDescent="0.3">
      <c r="A83" t="s">
        <v>61</v>
      </c>
      <c r="B83">
        <v>1101</v>
      </c>
      <c r="C83">
        <v>1045</v>
      </c>
    </row>
    <row r="84" spans="1:3" x14ac:dyDescent="0.3">
      <c r="A84" t="s">
        <v>64</v>
      </c>
      <c r="B84">
        <v>153</v>
      </c>
      <c r="C84">
        <v>151</v>
      </c>
    </row>
    <row r="85" spans="1:3" x14ac:dyDescent="0.3">
      <c r="A85" t="s">
        <v>88</v>
      </c>
      <c r="B85">
        <v>1062</v>
      </c>
      <c r="C85">
        <v>1442</v>
      </c>
    </row>
    <row r="87" spans="1:3" x14ac:dyDescent="0.3">
      <c r="A87" s="4" t="s">
        <v>95</v>
      </c>
    </row>
    <row r="88" spans="1:3" x14ac:dyDescent="0.3">
      <c r="A88" t="s">
        <v>96</v>
      </c>
      <c r="B88" t="s">
        <v>20</v>
      </c>
      <c r="C88" t="s">
        <v>11</v>
      </c>
    </row>
    <row r="89" spans="1:3" x14ac:dyDescent="0.3">
      <c r="A89" t="s">
        <v>97</v>
      </c>
      <c r="B89">
        <v>722</v>
      </c>
      <c r="C89">
        <v>721</v>
      </c>
    </row>
    <row r="90" spans="1:3" x14ac:dyDescent="0.3">
      <c r="A90" t="s">
        <v>91</v>
      </c>
      <c r="B90">
        <v>718</v>
      </c>
      <c r="C90">
        <v>713</v>
      </c>
    </row>
    <row r="91" spans="1:3" x14ac:dyDescent="0.3">
      <c r="A91" t="s">
        <v>98</v>
      </c>
      <c r="B91" s="5">
        <f>B90/B89</f>
        <v>0.9944598337950139</v>
      </c>
      <c r="C91" s="5">
        <f>C90/C89</f>
        <v>0.98890429958391124</v>
      </c>
    </row>
  </sheetData>
  <pageMargins left="0.7" right="0.7" top="0.75" bottom="0.75" header="0.511811023622047" footer="0.511811023622047"/>
  <pageSetup paperSize="9" orientation="portrait" horizontalDpi="300" verticalDpi="300"/>
  <legacyDrawing r:id="rId3"/>
  <tableParts count="1">
    <tablePart r:id="rId4"/>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DASHBOARD</vt:lpstr>
      <vt:lpstr>Sheet2</vt:lpstr>
      <vt:lpstr>DASHBOARD_DATA</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Prasanth R</dc:creator>
  <dc:description/>
  <cp:lastModifiedBy>Prasanth R</cp:lastModifiedBy>
  <cp:revision>2</cp:revision>
  <cp:lastPrinted>2026-07-03T19:13:28Z</cp:lastPrinted>
  <dcterms:created xsi:type="dcterms:W3CDTF">2015-06-05T18:17:20Z</dcterms:created>
  <dcterms:modified xsi:type="dcterms:W3CDTF">2026-07-03T19:20:40Z</dcterms:modified>
  <dc:language>en-US</dc:language>
</cp:coreProperties>
</file>